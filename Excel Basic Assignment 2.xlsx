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150" activeTab="8"/>
  </bookViews>
  <sheets>
    <sheet name="Cover Page " sheetId="2" r:id="rId1"/>
    <sheet name="Q1" sheetId="1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</sheets>
  <externalReferences>
    <externalReference r:id="rId10"/>
    <externalReference r:id="rId11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6" l="1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C58" i="8" s="1"/>
  <c r="G8" i="8"/>
  <c r="G7" i="8"/>
  <c r="C62" i="8" s="1"/>
  <c r="G6" i="8"/>
  <c r="G5" i="8"/>
  <c r="C59" i="8" s="1"/>
  <c r="G4" i="8"/>
  <c r="C61" i="8" s="1"/>
  <c r="G3" i="8"/>
  <c r="G54" i="8" s="1"/>
  <c r="C60" i="8" l="1"/>
  <c r="C63" i="8" s="1"/>
  <c r="G53" i="7" l="1"/>
  <c r="H5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4" i="7"/>
  <c r="H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3" i="6"/>
  <c r="F55" i="5"/>
  <c r="B17" i="4"/>
  <c r="B8" i="3"/>
  <c r="B28" i="1" l="1"/>
  <c r="B14" i="1"/>
  <c r="B13" i="1"/>
</calcChain>
</file>

<file path=xl/sharedStrings.xml><?xml version="1.0" encoding="utf-8"?>
<sst xmlns="http://schemas.openxmlformats.org/spreadsheetml/2006/main" count="965" uniqueCount="153">
  <si>
    <t>EXCEL BASIC</t>
  </si>
  <si>
    <t xml:space="preserve">Vehical </t>
  </si>
  <si>
    <t xml:space="preserve">Price </t>
  </si>
  <si>
    <t xml:space="preserve">Car </t>
  </si>
  <si>
    <t>Bicycle</t>
  </si>
  <si>
    <t>AAuto-Rickshaw</t>
  </si>
  <si>
    <t xml:space="preserve"> - In relative cell reference, the cell reference changes automatically when the formula is copied.</t>
  </si>
  <si>
    <t xml:space="preserve">Example </t>
  </si>
  <si>
    <t xml:space="preserve">The Refeance change autoamtically that’s why its called relative referancing </t>
  </si>
  <si>
    <t xml:space="preserve">1. Relative cells Referanceing </t>
  </si>
  <si>
    <t xml:space="preserve">2.Absolute Cell referencing </t>
  </si>
  <si>
    <t>In absolute cell referencing, the cell reference remains fixed even after copying the formula.</t>
  </si>
  <si>
    <t>$E3$*2</t>
  </si>
  <si>
    <t>The $ symbol is used to lock the cell.</t>
  </si>
  <si>
    <t>3.Mixed Cell Referencing</t>
  </si>
  <si>
    <t>In mixed cell referencing, either the row or the column is fixed, but not both.</t>
  </si>
  <si>
    <t>Example</t>
  </si>
  <si>
    <r>
      <t xml:space="preserve">Here, column </t>
    </r>
    <r>
      <rPr>
        <b/>
        <sz val="14"/>
        <color theme="1"/>
        <rFont val="Calibri"/>
        <family val="2"/>
        <scheme val="minor"/>
      </rPr>
      <t>B</t>
    </r>
    <r>
      <rPr>
        <sz val="14"/>
        <color theme="1"/>
        <rFont val="Calibri"/>
        <family val="2"/>
        <scheme val="minor"/>
      </rPr>
      <t xml:space="preserve"> is fixed, but the row can change when the formula is copied.</t>
    </r>
  </si>
  <si>
    <r>
      <t xml:space="preserve">When this formula is copied to another cell, </t>
    </r>
    <r>
      <rPr>
        <sz val="14"/>
        <color theme="1"/>
        <rFont val="Arial Unicode MS"/>
        <family val="2"/>
      </rPr>
      <t>$B$2</t>
    </r>
    <r>
      <rPr>
        <sz val="14"/>
        <color theme="1"/>
        <rFont val="Calibri"/>
        <family val="2"/>
        <scheme val="minor"/>
      </rPr>
      <t xml:space="preserve"> will not change.</t>
    </r>
  </si>
  <si>
    <r>
      <t>If the value in E</t>
    </r>
    <r>
      <rPr>
        <b/>
        <sz val="14"/>
        <color theme="1"/>
        <rFont val="Calibri"/>
        <family val="2"/>
        <scheme val="minor"/>
      </rPr>
      <t>3(500000)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should remain fixed:</t>
    </r>
  </si>
  <si>
    <t>If We Right Formula in A10 As: =B3*2 and copy it down in A11 the Formula is becomes : = B4*2</t>
  </si>
  <si>
    <t>Q1. Explain the difference between Relative , Absolute and Mixed Cell Referencing._x000B_You have the following dataset</t>
  </si>
  <si>
    <t>Q2. Write a formula to calculate the total sales of Car and Bicycle only</t>
  </si>
  <si>
    <t>Price</t>
  </si>
  <si>
    <t xml:space="preserve">Vehicle </t>
  </si>
  <si>
    <t>Answer -</t>
  </si>
  <si>
    <t>Car</t>
  </si>
  <si>
    <t>SUMIF(A5:A5,"Car",B5:B5)+SUMIF(A6:A6,"Bicycle",B6:B6)</t>
  </si>
  <si>
    <r>
      <t xml:space="preserve">This formula adds sales values of </t>
    </r>
    <r>
      <rPr>
        <b/>
        <sz val="14"/>
        <color theme="1"/>
        <rFont val="Calibri"/>
        <family val="2"/>
        <scheme val="minor"/>
      </rPr>
      <t>Car</t>
    </r>
    <r>
      <rPr>
        <sz val="14"/>
        <color theme="1"/>
        <rFont val="Calibri"/>
        <family val="2"/>
        <scheme val="minor"/>
      </rPr>
      <t xml:space="preserve"> and </t>
    </r>
    <r>
      <rPr>
        <b/>
        <sz val="14"/>
        <color theme="1"/>
        <rFont val="Calibri"/>
        <family val="2"/>
        <scheme val="minor"/>
      </rPr>
      <t>Bicycle</t>
    </r>
    <r>
      <rPr>
        <sz val="14"/>
        <color theme="1"/>
        <rFont val="Calibri"/>
        <family val="2"/>
        <scheme val="minor"/>
      </rPr>
      <t xml:space="preserve"> only.</t>
    </r>
  </si>
  <si>
    <t>Q3. Write a formula to calculate average sales of items priced above 100 and below 300</t>
  </si>
  <si>
    <t xml:space="preserve">Item  </t>
  </si>
  <si>
    <t xml:space="preserve"> Sales</t>
  </si>
  <si>
    <t xml:space="preserve">Item A </t>
  </si>
  <si>
    <t xml:space="preserve">Item B </t>
  </si>
  <si>
    <t>Item C</t>
  </si>
  <si>
    <t>Condition</t>
  </si>
  <si>
    <t>Price &gt; 100</t>
  </si>
  <si>
    <t>Price &lt; 300</t>
  </si>
  <si>
    <t>●</t>
  </si>
  <si>
    <t>Items Selected Based on Condition</t>
  </si>
  <si>
    <t>Item</t>
  </si>
  <si>
    <t>Sales</t>
  </si>
  <si>
    <t>Item B</t>
  </si>
  <si>
    <t>Item A is excluded because its price (90) is less than 100.</t>
  </si>
  <si>
    <t>-</t>
  </si>
  <si>
    <t>Final Answer</t>
  </si>
  <si>
    <t>Average Sales of items priced above 100 and below 300 = 1350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</si>
  <si>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</si>
  <si>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</si>
  <si>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</si>
  <si>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</si>
  <si>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</si>
  <si>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</si>
  <si>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</si>
  <si>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</si>
  <si>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</si>
  <si>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</si>
  <si>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</si>
  <si>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</si>
  <si>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</si>
  <si>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</si>
  <si>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</si>
  <si>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</si>
  <si>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</si>
  <si>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</si>
  <si>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</si>
  <si>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</si>
  <si>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</si>
  <si>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</si>
  <si>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</si>
  <si>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</si>
  <si>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</si>
  <si>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</si>
  <si>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</si>
  <si>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</si>
  <si>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</si>
  <si>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</si>
  <si>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</si>
  <si>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</si>
  <si>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</si>
  <si>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</si>
  <si>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</si>
  <si>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</si>
  <si>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</si>
  <si>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</si>
  <si>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</si>
  <si>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</si>
  <si>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</si>
  <si>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</si>
  <si>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</si>
  <si>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</si>
  <si>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</si>
  <si>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</si>
  <si>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</si>
  <si>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</si>
  <si>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</si>
  <si>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</si>
  <si>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</si>
  <si>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</si>
  <si>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</si>
  <si>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</si>
  <si>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</si>
  <si>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</si>
  <si>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</si>
  <si>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</si>
  <si>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</si>
  <si>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</si>
  <si>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</si>
  <si>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</si>
  <si>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</si>
  <si>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</si>
  <si>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</si>
  <si>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</si>
  <si>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</si>
  <si>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</si>
  <si>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</si>
  <si>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</si>
  <si>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</si>
  <si>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</si>
  <si>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</si>
  <si>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</si>
  <si>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</si>
  <si>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</si>
  <si>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</si>
  <si>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</si>
  <si>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</si>
  <si>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</si>
  <si>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</si>
  <si>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</si>
  <si>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</si>
  <si>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</si>
  <si>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</si>
  <si>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</si>
  <si>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</si>
  <si>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</si>
  <si>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</si>
  <si>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</si>
  <si>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</si>
  <si>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</si>
  <si>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Q4. Count how many customer names are recorded</t>
  </si>
  <si>
    <t xml:space="preserve">Total number of customer names </t>
  </si>
  <si>
    <t>Q5. Calculate the Total Sales for each row using a formula</t>
  </si>
  <si>
    <t xml:space="preserve">Total Sales </t>
  </si>
  <si>
    <t>Q6. Calculate the total sales of Notebooks in the North region only</t>
  </si>
  <si>
    <t xml:space="preserve">North Region Sales </t>
  </si>
  <si>
    <t>The total sales of Notebooks in the North region is 2900</t>
  </si>
  <si>
    <t>Q7. Create a column chart showing total sales by product</t>
  </si>
  <si>
    <t>Total Sales</t>
  </si>
  <si>
    <t xml:space="preserve"> </t>
  </si>
  <si>
    <t xml:space="preserve">Sr.No </t>
  </si>
  <si>
    <r>
      <t xml:space="preserve">NOTE - </t>
    </r>
    <r>
      <rPr>
        <b/>
        <sz val="16"/>
        <color theme="1"/>
        <rFont val="Calibri"/>
        <family val="2"/>
        <scheme val="minor"/>
      </rPr>
      <t>I have attempted two types of answers for better understanding. You may check both.</t>
    </r>
  </si>
  <si>
    <t>Q8. Insert a line chart showing daily sales trend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</si>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</sst>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\-dd\-yyyy"/>
    <numFmt numFmtId="165" formatCode="[$-F800]dddd\,\ mmmm\ dd\,\ yyyy"/>
  </numFmts>
  <fonts count="23" x14ac:knownFonts="1">
    <font>
      <sz val="11"/>
      <color theme="1"/>
      <name val="Calibri"/>
      <family val="2"/>
      <scheme val="minor"/>
    </font>
    <font>
      <b/>
      <sz val="8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8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</font>
    <font>
      <b/>
      <sz val="16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0" xfId="0" applyFont="1" applyAlignment="1"/>
    <xf numFmtId="0" fontId="2" fillId="0" borderId="0" xfId="0" applyFont="1" applyBorder="1" applyAlignment="1"/>
    <xf numFmtId="0" fontId="2" fillId="0" borderId="6" xfId="0" applyFont="1" applyBorder="1" applyAlignment="1"/>
    <xf numFmtId="0" fontId="3" fillId="0" borderId="0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3" fillId="3" borderId="10" xfId="0" applyFont="1" applyFill="1" applyBorder="1" applyAlignment="1"/>
    <xf numFmtId="0" fontId="3" fillId="3" borderId="11" xfId="0" applyFont="1" applyFill="1" applyBorder="1" applyAlignment="1"/>
    <xf numFmtId="0" fontId="2" fillId="0" borderId="0" xfId="0" applyFont="1" applyFill="1" applyBorder="1" applyAlignment="1"/>
    <xf numFmtId="0" fontId="2" fillId="0" borderId="6" xfId="0" applyFont="1" applyFill="1" applyBorder="1" applyAlignment="1"/>
    <xf numFmtId="0" fontId="2" fillId="0" borderId="0" xfId="0" applyFont="1" applyFill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Fill="1" applyBorder="1" applyAlignment="1"/>
    <xf numFmtId="0" fontId="2" fillId="0" borderId="15" xfId="0" applyFont="1" applyFill="1" applyBorder="1" applyAlignment="1"/>
    <xf numFmtId="0" fontId="2" fillId="0" borderId="16" xfId="0" applyFont="1" applyBorder="1" applyAlignment="1"/>
    <xf numFmtId="0" fontId="0" fillId="0" borderId="17" xfId="0" applyBorder="1" applyAlignment="1"/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Fill="1" applyBorder="1" applyAlignment="1"/>
    <xf numFmtId="0" fontId="3" fillId="3" borderId="22" xfId="0" applyFont="1" applyFill="1" applyBorder="1" applyAlignment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4" fillId="6" borderId="18" xfId="0" applyFont="1" applyFill="1" applyBorder="1" applyAlignment="1"/>
    <xf numFmtId="0" fontId="4" fillId="6" borderId="19" xfId="0" applyFont="1" applyFill="1" applyBorder="1" applyAlignment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6" fillId="6" borderId="24" xfId="0" applyFont="1" applyFill="1" applyBorder="1"/>
    <xf numFmtId="0" fontId="6" fillId="6" borderId="25" xfId="0" applyFont="1" applyFill="1" applyBorder="1"/>
    <xf numFmtId="0" fontId="6" fillId="0" borderId="0" xfId="0" applyFont="1"/>
    <xf numFmtId="0" fontId="0" fillId="0" borderId="26" xfId="0" applyBorder="1"/>
    <xf numFmtId="0" fontId="6" fillId="4" borderId="24" xfId="0" applyFont="1" applyFill="1" applyBorder="1"/>
    <xf numFmtId="0" fontId="6" fillId="4" borderId="30" xfId="0" applyFont="1" applyFill="1" applyBorder="1"/>
    <xf numFmtId="0" fontId="6" fillId="4" borderId="25" xfId="0" applyFont="1" applyFill="1" applyBorder="1"/>
    <xf numFmtId="0" fontId="0" fillId="0" borderId="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2" xfId="0" applyBorder="1"/>
    <xf numFmtId="0" fontId="12" fillId="0" borderId="5" xfId="0" applyFont="1" applyBorder="1" applyAlignment="1">
      <alignment horizontal="right"/>
    </xf>
    <xf numFmtId="0" fontId="1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8" fillId="0" borderId="0" xfId="0" applyFont="1" applyBorder="1"/>
    <xf numFmtId="0" fontId="6" fillId="0" borderId="0" xfId="0" applyFont="1" applyBorder="1"/>
    <xf numFmtId="0" fontId="0" fillId="0" borderId="7" xfId="0" applyBorder="1"/>
    <xf numFmtId="0" fontId="13" fillId="0" borderId="1" xfId="0" applyFont="1" applyBorder="1" applyAlignment="1"/>
    <xf numFmtId="0" fontId="14" fillId="0" borderId="1" xfId="0" applyFont="1" applyBorder="1" applyAlignment="1">
      <alignment horizontal="right"/>
    </xf>
    <xf numFmtId="0" fontId="14" fillId="0" borderId="1" xfId="0" applyFont="1" applyBorder="1" applyAlignment="1"/>
    <xf numFmtId="164" fontId="14" fillId="0" borderId="1" xfId="0" applyNumberFormat="1" applyFont="1" applyBorder="1" applyAlignment="1">
      <alignment horizontal="right"/>
    </xf>
    <xf numFmtId="0" fontId="15" fillId="5" borderId="1" xfId="0" applyFont="1" applyFill="1" applyBorder="1" applyAlignment="1"/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/>
    <xf numFmtId="164" fontId="16" fillId="0" borderId="1" xfId="0" applyNumberFormat="1" applyFont="1" applyBorder="1" applyAlignment="1">
      <alignment horizontal="right"/>
    </xf>
    <xf numFmtId="0" fontId="17" fillId="0" borderId="31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4" fillId="2" borderId="12" xfId="0" applyFont="1" applyFill="1" applyBorder="1" applyAlignment="1"/>
    <xf numFmtId="0" fontId="4" fillId="2" borderId="1" xfId="0" applyFont="1" applyFill="1" applyBorder="1" applyAlignment="1"/>
    <xf numFmtId="0" fontId="3" fillId="3" borderId="1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0" fillId="3" borderId="1" xfId="0" applyNumberFormat="1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9" fillId="0" borderId="0" xfId="0" applyFont="1" applyAlignment="1">
      <alignment horizontal="left"/>
    </xf>
    <xf numFmtId="0" fontId="9" fillId="4" borderId="2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15" fillId="0" borderId="1" xfId="0" applyFont="1" applyBorder="1"/>
    <xf numFmtId="0" fontId="16" fillId="0" borderId="1" xfId="0" applyFont="1" applyBorder="1"/>
    <xf numFmtId="0" fontId="3" fillId="0" borderId="1" xfId="0" applyFont="1" applyBorder="1"/>
    <xf numFmtId="0" fontId="3" fillId="0" borderId="20" xfId="0" applyFont="1" applyBorder="1"/>
    <xf numFmtId="0" fontId="18" fillId="0" borderId="32" xfId="0" applyFont="1" applyBorder="1" applyAlignment="1">
      <alignment horizontal="right"/>
    </xf>
    <xf numFmtId="0" fontId="19" fillId="0" borderId="0" xfId="0" applyFont="1" applyAlignment="1">
      <alignment horizontal="center"/>
    </xf>
    <xf numFmtId="0" fontId="18" fillId="0" borderId="24" xfId="0" applyFont="1" applyBorder="1"/>
    <xf numFmtId="0" fontId="18" fillId="0" borderId="30" xfId="0" applyFont="1" applyBorder="1"/>
    <xf numFmtId="0" fontId="18" fillId="0" borderId="25" xfId="0" applyFont="1" applyBorder="1"/>
    <xf numFmtId="0" fontId="20" fillId="0" borderId="12" xfId="0" applyFont="1" applyBorder="1"/>
    <xf numFmtId="0" fontId="21" fillId="0" borderId="1" xfId="0" applyFont="1" applyBorder="1"/>
    <xf numFmtId="0" fontId="20" fillId="0" borderId="13" xfId="0" applyFont="1" applyBorder="1"/>
    <xf numFmtId="0" fontId="20" fillId="0" borderId="23" xfId="0" applyFont="1" applyBorder="1"/>
    <xf numFmtId="0" fontId="20" fillId="0" borderId="7" xfId="0" applyFont="1" applyBorder="1"/>
    <xf numFmtId="0" fontId="20" fillId="0" borderId="8" xfId="0" applyFont="1" applyBorder="1"/>
    <xf numFmtId="0" fontId="10" fillId="0" borderId="32" xfId="0" applyFont="1" applyBorder="1"/>
    <xf numFmtId="0" fontId="3" fillId="0" borderId="0" xfId="0" applyFont="1" applyBorder="1"/>
    <xf numFmtId="165" fontId="3" fillId="0" borderId="1" xfId="0" applyNumberFormat="1" applyFont="1" applyBorder="1"/>
    <xf numFmtId="0" fontId="15" fillId="0" borderId="0" xfId="0" applyFont="1" applyBorder="1"/>
    <xf numFmtId="0" fontId="10" fillId="0" borderId="0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6" fillId="0" borderId="20" xfId="0" applyFont="1" applyBorder="1" applyAlignment="1"/>
    <xf numFmtId="0" fontId="16" fillId="0" borderId="20" xfId="0" applyFont="1" applyBorder="1" applyAlignment="1">
      <alignment horizontal="right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22" fillId="0" borderId="3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[1]Q7!$G$2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[1]Q7!$D$3:$D$52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[1]Q7!$G$3:$G$52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B81-40E6-94B3-861FD7C5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8909824"/>
        <c:axId val="478911000"/>
        <c:axId val="0"/>
      </c:bar3DChart>
      <c:catAx>
        <c:axId val="47890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400"/>
                  <a:t>PRODUCT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11000"/>
        <c:crosses val="autoZero"/>
        <c:auto val="1"/>
        <c:lblAlgn val="ctr"/>
        <c:lblOffset val="100"/>
        <c:noMultiLvlLbl val="0"/>
      </c:catAx>
      <c:valAx>
        <c:axId val="47891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400"/>
                  <a:t>TOTAL SALES</a:t>
                </a:r>
              </a:p>
            </c:rich>
          </c:tx>
          <c:layout>
            <c:manualLayout>
              <c:xMode val="edge"/>
              <c:yMode val="edge"/>
              <c:x val="1.0517098662330511E-2"/>
              <c:y val="0.309138735976586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0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[1]Q7!$B$58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[1]Q7!$B$57</c:f>
              <c:strCache>
                <c:ptCount val="1"/>
                <c:pt idx="0">
                  <c:v>Product</c:v>
                </c:pt>
              </c:strCache>
            </c:strRef>
          </c:cat>
          <c:val>
            <c:numRef>
              <c:f>[1]Q7!$C$58</c:f>
              <c:numCache>
                <c:formatCode>General</c:formatCode>
                <c:ptCount val="1"/>
                <c:pt idx="0">
                  <c:v>1928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BA2-4376-BD77-74E48D27E5B7}"/>
            </c:ext>
          </c:extLst>
        </c:ser>
        <c:ser>
          <c:idx val="1"/>
          <c:order val="1"/>
          <c:tx>
            <c:strRef>
              <c:f>[1]Q7!$B$59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[1]Q7!$B$57</c:f>
              <c:strCache>
                <c:ptCount val="1"/>
                <c:pt idx="0">
                  <c:v>Product</c:v>
                </c:pt>
              </c:strCache>
            </c:strRef>
          </c:cat>
          <c:val>
            <c:numRef>
              <c:f>[1]Q7!$C$59</c:f>
              <c:numCache>
                <c:formatCode>General</c:formatCode>
                <c:ptCount val="1"/>
                <c:pt idx="0">
                  <c:v>3650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BA2-4376-BD77-74E48D27E5B7}"/>
            </c:ext>
          </c:extLst>
        </c:ser>
        <c:ser>
          <c:idx val="2"/>
          <c:order val="2"/>
          <c:tx>
            <c:strRef>
              <c:f>[1]Q7!$B$60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[1]Q7!$B$57</c:f>
              <c:strCache>
                <c:ptCount val="1"/>
                <c:pt idx="0">
                  <c:v>Product</c:v>
                </c:pt>
              </c:strCache>
            </c:strRef>
          </c:cat>
          <c:val>
            <c:numRef>
              <c:f>[1]Q7!$C$60</c:f>
              <c:numCache>
                <c:formatCode>General</c:formatCode>
                <c:ptCount val="1"/>
                <c:pt idx="0">
                  <c:v>7550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BA2-4376-BD77-74E48D27E5B7}"/>
            </c:ext>
          </c:extLst>
        </c:ser>
        <c:ser>
          <c:idx val="3"/>
          <c:order val="3"/>
          <c:tx>
            <c:strRef>
              <c:f>[1]Q7!$B$61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[1]Q7!$B$57</c:f>
              <c:strCache>
                <c:ptCount val="1"/>
                <c:pt idx="0">
                  <c:v>Product</c:v>
                </c:pt>
              </c:strCache>
            </c:strRef>
          </c:cat>
          <c:val>
            <c:numRef>
              <c:f>[1]Q7!$C$61</c:f>
              <c:numCache>
                <c:formatCode>General</c:formatCode>
                <c:ptCount val="1"/>
                <c:pt idx="0">
                  <c:v>2180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BA2-4376-BD77-74E48D27E5B7}"/>
            </c:ext>
          </c:extLst>
        </c:ser>
        <c:ser>
          <c:idx val="4"/>
          <c:order val="4"/>
          <c:tx>
            <c:strRef>
              <c:f>[1]Q7!$B$62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[1]Q7!$B$57</c:f>
              <c:strCache>
                <c:ptCount val="1"/>
                <c:pt idx="0">
                  <c:v>Product</c:v>
                </c:pt>
              </c:strCache>
            </c:strRef>
          </c:cat>
          <c:val>
            <c:numRef>
              <c:f>[1]Q7!$C$62</c:f>
              <c:numCache>
                <c:formatCode>General</c:formatCode>
                <c:ptCount val="1"/>
                <c:pt idx="0">
                  <c:v>1235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BA2-4376-BD77-74E48D27E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8909432"/>
        <c:axId val="478911392"/>
      </c:barChart>
      <c:catAx>
        <c:axId val="478909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400" b="1">
                    <a:solidFill>
                      <a:srgbClr val="00B0F0"/>
                    </a:solidFill>
                  </a:rPr>
                  <a:t>Product</a:t>
                </a:r>
                <a:r>
                  <a:rPr lang="en-IN" baseline="0"/>
                  <a:t> 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1834193663563402"/>
              <c:y val="0.73501194183524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11392"/>
        <c:crosses val="autoZero"/>
        <c:auto val="1"/>
        <c:lblAlgn val="ctr"/>
        <c:lblOffset val="100"/>
        <c:noMultiLvlLbl val="0"/>
      </c:catAx>
      <c:valAx>
        <c:axId val="4789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>
                    <a:solidFill>
                      <a:srgbClr val="00B0F0"/>
                    </a:solidFill>
                  </a:rPr>
                  <a:t>TOTAL</a:t>
                </a:r>
                <a:r>
                  <a:rPr lang="en-IN" sz="1600" b="1" baseline="0">
                    <a:solidFill>
                      <a:srgbClr val="00B0F0"/>
                    </a:solidFill>
                  </a:rPr>
                  <a:t> SALES</a:t>
                </a:r>
                <a:endParaRPr lang="en-IN" sz="1600" b="1">
                  <a:solidFill>
                    <a:srgbClr val="00B0F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0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Sales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'Q8'!$H$2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'Q8'!$G$3:$G$52</c:f>
              <c:numCache>
                <c:formatCode>[$-F800]dddd\,\ mmmm\ dd\,\ 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'Q8'!$H$3:$H$52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884416"/>
        <c:axId val="612884024"/>
      </c:lineChart>
      <c:dateAx>
        <c:axId val="61288441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Order Date</a:t>
                </a:r>
              </a:p>
            </c:rich>
          </c:tx>
          <c:layout/>
          <c:overlay val="1"/>
        </c:title>
        <c:numFmt formatCode="[$-F800]dddd\,\ mmmm\ dd\,\ yyyy" sourceLinked="1"/>
        <c:majorTickMark val="none"/>
        <c:minorTickMark val="none"/>
        <c:tickLblPos val="nextTo"/>
        <c:crossAx val="612884024"/>
        <c:crosses val="autoZero"/>
        <c:auto val="1"/>
        <c:lblOffset val="100"/>
        <c:baseTimeUnit val="days"/>
      </c:dateAx>
      <c:valAx>
        <c:axId val="61288402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layout>
            <c:manualLayout>
              <c:xMode val="edge"/>
              <c:yMode val="edge"/>
              <c:x val="1.703940647856347E-2"/>
              <c:y val="0.22646942230568304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61288441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220979</xdr:colOff>
      <xdr:row>1</xdr:row>
      <xdr:rowOff>7620</xdr:rowOff>
    </xdr:from>
    <xdr:to>
      <xdr:col>23</xdr:col>
      <xdr:colOff>276224</xdr:colOff>
      <xdr:row>23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325B619-231B-619C-40DD-9611EAF69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365760</xdr:colOff>
      <xdr:row>55</xdr:row>
      <xdr:rowOff>165735</xdr:rowOff>
    </xdr:from>
    <xdr:to>
      <xdr:col>11</xdr:col>
      <xdr:colOff>192405</xdr:colOff>
      <xdr:row>70</xdr:row>
      <xdr:rowOff>78105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A5087D7A-A1B9-7566-0592-52590B78A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381000</xdr:colOff>
      <xdr:row>3</xdr:row>
      <xdr:rowOff>190500</xdr:rowOff>
    </xdr:from>
    <xdr:ext cx="5962649" cy="3867149"/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%20Basic%20Assignment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_Sales_Tr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 "/>
      <sheetName val="Q1"/>
      <sheetName val="Q7"/>
      <sheetName val="Q8"/>
    </sheetNames>
    <sheetDataSet>
      <sheetData sheetId="0" refreshError="1"/>
      <sheetData sheetId="1" refreshError="1"/>
      <sheetData sheetId="2">
        <row r="2">
          <cell r="G2" t="str">
            <v>Total Sales</v>
          </cell>
        </row>
        <row r="3">
          <cell r="D3" t="str">
            <v>Notebook</v>
          </cell>
          <cell r="G3">
            <v>500</v>
          </cell>
        </row>
        <row r="4">
          <cell r="D4" t="str">
            <v>Pen</v>
          </cell>
          <cell r="G4">
            <v>200</v>
          </cell>
        </row>
        <row r="5">
          <cell r="D5" t="str">
            <v>Marker</v>
          </cell>
          <cell r="G5">
            <v>375</v>
          </cell>
        </row>
        <row r="6">
          <cell r="D6" t="str">
            <v>Notebook</v>
          </cell>
          <cell r="G6">
            <v>250</v>
          </cell>
        </row>
        <row r="7">
          <cell r="D7" t="str">
            <v>Pencil</v>
          </cell>
          <cell r="G7">
            <v>150</v>
          </cell>
        </row>
        <row r="8">
          <cell r="D8" t="str">
            <v>Notebook</v>
          </cell>
          <cell r="G8">
            <v>600</v>
          </cell>
        </row>
        <row r="9">
          <cell r="D9" t="str">
            <v>Eraser</v>
          </cell>
          <cell r="G9">
            <v>200</v>
          </cell>
        </row>
        <row r="10">
          <cell r="D10" t="str">
            <v>Pen</v>
          </cell>
          <cell r="G10">
            <v>180</v>
          </cell>
        </row>
        <row r="11">
          <cell r="D11" t="str">
            <v>Marker</v>
          </cell>
          <cell r="G11">
            <v>550</v>
          </cell>
        </row>
        <row r="12">
          <cell r="D12" t="str">
            <v>Notebook</v>
          </cell>
          <cell r="G12">
            <v>400</v>
          </cell>
        </row>
        <row r="13">
          <cell r="D13" t="str">
            <v>Pencil</v>
          </cell>
          <cell r="G13">
            <v>200</v>
          </cell>
        </row>
        <row r="14">
          <cell r="D14" t="str">
            <v>Eraser</v>
          </cell>
          <cell r="G14">
            <v>280</v>
          </cell>
        </row>
        <row r="15">
          <cell r="D15" t="str">
            <v>Notebook</v>
          </cell>
          <cell r="G15">
            <v>700</v>
          </cell>
        </row>
        <row r="16">
          <cell r="D16" t="str">
            <v>Pen</v>
          </cell>
          <cell r="G16">
            <v>280</v>
          </cell>
        </row>
        <row r="17">
          <cell r="D17" t="str">
            <v>Marker</v>
          </cell>
          <cell r="G17">
            <v>300</v>
          </cell>
        </row>
        <row r="18">
          <cell r="D18" t="str">
            <v>Pencil</v>
          </cell>
          <cell r="G18">
            <v>125</v>
          </cell>
        </row>
        <row r="19">
          <cell r="D19" t="str">
            <v>Eraser</v>
          </cell>
          <cell r="G19">
            <v>160</v>
          </cell>
        </row>
        <row r="20">
          <cell r="D20" t="str">
            <v>Notebook</v>
          </cell>
          <cell r="G20">
            <v>500</v>
          </cell>
        </row>
        <row r="21">
          <cell r="D21" t="str">
            <v>Pen</v>
          </cell>
          <cell r="G21">
            <v>150</v>
          </cell>
        </row>
        <row r="22">
          <cell r="D22" t="str">
            <v>Marker</v>
          </cell>
          <cell r="G22">
            <v>450</v>
          </cell>
        </row>
        <row r="23">
          <cell r="D23" t="str">
            <v>Notebook</v>
          </cell>
          <cell r="G23">
            <v>450</v>
          </cell>
        </row>
        <row r="24">
          <cell r="D24" t="str">
            <v>Pencil</v>
          </cell>
          <cell r="G24">
            <v>175</v>
          </cell>
        </row>
        <row r="25">
          <cell r="D25" t="str">
            <v>Eraser</v>
          </cell>
          <cell r="G25">
            <v>240</v>
          </cell>
        </row>
        <row r="26">
          <cell r="D26" t="str">
            <v>Notebook</v>
          </cell>
          <cell r="G26">
            <v>550</v>
          </cell>
        </row>
        <row r="27">
          <cell r="D27" t="str">
            <v>Pen</v>
          </cell>
          <cell r="G27">
            <v>140</v>
          </cell>
        </row>
        <row r="28">
          <cell r="D28" t="str">
            <v>Marker</v>
          </cell>
          <cell r="G28">
            <v>400</v>
          </cell>
        </row>
        <row r="29">
          <cell r="D29" t="str">
            <v>Pencil</v>
          </cell>
          <cell r="G29">
            <v>110</v>
          </cell>
        </row>
        <row r="30">
          <cell r="D30" t="str">
            <v>Eraser</v>
          </cell>
          <cell r="G30">
            <v>216</v>
          </cell>
        </row>
        <row r="31">
          <cell r="D31" t="str">
            <v>Notebook</v>
          </cell>
          <cell r="G31">
            <v>650</v>
          </cell>
        </row>
        <row r="32">
          <cell r="D32" t="str">
            <v>Pen</v>
          </cell>
          <cell r="G32">
            <v>320</v>
          </cell>
        </row>
        <row r="33">
          <cell r="D33" t="str">
            <v>Marker</v>
          </cell>
          <cell r="G33">
            <v>250</v>
          </cell>
        </row>
        <row r="34">
          <cell r="D34" t="str">
            <v>Pencil</v>
          </cell>
          <cell r="G34">
            <v>90</v>
          </cell>
        </row>
        <row r="35">
          <cell r="D35" t="str">
            <v>Eraser</v>
          </cell>
          <cell r="G35">
            <v>176</v>
          </cell>
        </row>
        <row r="36">
          <cell r="D36" t="str">
            <v>Notebook</v>
          </cell>
          <cell r="G36">
            <v>850</v>
          </cell>
        </row>
        <row r="37">
          <cell r="D37" t="str">
            <v>Pen</v>
          </cell>
          <cell r="G37">
            <v>190</v>
          </cell>
        </row>
        <row r="38">
          <cell r="D38" t="str">
            <v>Marker</v>
          </cell>
          <cell r="G38">
            <v>375</v>
          </cell>
        </row>
        <row r="39">
          <cell r="D39" t="str">
            <v>Pencil</v>
          </cell>
          <cell r="G39">
            <v>140</v>
          </cell>
        </row>
        <row r="40">
          <cell r="D40" t="str">
            <v>Eraser</v>
          </cell>
          <cell r="G40">
            <v>192</v>
          </cell>
        </row>
        <row r="41">
          <cell r="D41" t="str">
            <v>Notebook</v>
          </cell>
          <cell r="G41">
            <v>800</v>
          </cell>
        </row>
        <row r="42">
          <cell r="D42" t="str">
            <v>Pen</v>
          </cell>
          <cell r="G42">
            <v>270</v>
          </cell>
        </row>
        <row r="43">
          <cell r="D43" t="str">
            <v>Marker</v>
          </cell>
          <cell r="G43">
            <v>525</v>
          </cell>
        </row>
        <row r="44">
          <cell r="D44" t="str">
            <v>Pencil</v>
          </cell>
          <cell r="G44">
            <v>150</v>
          </cell>
        </row>
        <row r="45">
          <cell r="D45" t="str">
            <v>Eraser</v>
          </cell>
          <cell r="G45">
            <v>208</v>
          </cell>
        </row>
        <row r="46">
          <cell r="D46" t="str">
            <v>Notebook</v>
          </cell>
          <cell r="G46">
            <v>700</v>
          </cell>
        </row>
        <row r="47">
          <cell r="D47" t="str">
            <v>Pen</v>
          </cell>
          <cell r="G47">
            <v>200</v>
          </cell>
        </row>
        <row r="48">
          <cell r="D48" t="str">
            <v>Marker</v>
          </cell>
          <cell r="G48">
            <v>425</v>
          </cell>
        </row>
        <row r="49">
          <cell r="D49" t="str">
            <v>Pencil</v>
          </cell>
          <cell r="G49">
            <v>95</v>
          </cell>
        </row>
        <row r="50">
          <cell r="D50" t="str">
            <v>Eraser</v>
          </cell>
          <cell r="G50">
            <v>256</v>
          </cell>
        </row>
        <row r="51">
          <cell r="D51" t="str">
            <v>Notebook</v>
          </cell>
          <cell r="G51">
            <v>600</v>
          </cell>
        </row>
        <row r="52">
          <cell r="D52" t="str">
            <v>Pen</v>
          </cell>
          <cell r="G52">
            <v>250</v>
          </cell>
        </row>
        <row r="57">
          <cell r="B57" t="str">
            <v>Product</v>
          </cell>
        </row>
        <row r="58">
          <cell r="B58" t="str">
            <v>Eraser</v>
          </cell>
          <cell r="C58">
            <v>1928</v>
          </cell>
        </row>
        <row r="59">
          <cell r="B59" t="str">
            <v>Marker</v>
          </cell>
          <cell r="C59">
            <v>3650</v>
          </cell>
        </row>
        <row r="60">
          <cell r="B60" t="str">
            <v>Notebook</v>
          </cell>
          <cell r="C60">
            <v>7550</v>
          </cell>
        </row>
        <row r="61">
          <cell r="B61" t="str">
            <v>Pen</v>
          </cell>
          <cell r="C61">
            <v>2180</v>
          </cell>
        </row>
        <row r="62">
          <cell r="B62" t="str">
            <v>Pencil</v>
          </cell>
          <cell r="C62">
            <v>1235</v>
          </cell>
        </row>
      </sheetData>
      <sheetData sheetId="3">
        <row r="2">
          <cell r="G2" t="str">
            <v>Total Sales</v>
          </cell>
          <cell r="H2" t="str">
            <v>OrderDate</v>
          </cell>
        </row>
        <row r="3">
          <cell r="G3">
            <v>500</v>
          </cell>
          <cell r="H3">
            <v>45413</v>
          </cell>
        </row>
        <row r="4">
          <cell r="G4">
            <v>200</v>
          </cell>
          <cell r="H4">
            <v>45444</v>
          </cell>
        </row>
        <row r="5">
          <cell r="G5">
            <v>375</v>
          </cell>
          <cell r="H5">
            <v>45474</v>
          </cell>
        </row>
        <row r="6">
          <cell r="G6">
            <v>250</v>
          </cell>
          <cell r="H6">
            <v>45505</v>
          </cell>
        </row>
        <row r="7">
          <cell r="G7">
            <v>150</v>
          </cell>
          <cell r="H7">
            <v>45566</v>
          </cell>
        </row>
        <row r="8">
          <cell r="G8">
            <v>600</v>
          </cell>
          <cell r="H8">
            <v>45597</v>
          </cell>
        </row>
        <row r="9">
          <cell r="G9">
            <v>200</v>
          </cell>
          <cell r="H9" t="str">
            <v>13-01-2024</v>
          </cell>
        </row>
        <row r="10">
          <cell r="G10">
            <v>180</v>
          </cell>
          <cell r="H10" t="str">
            <v>15-01-2024</v>
          </cell>
        </row>
        <row r="11">
          <cell r="G11">
            <v>550</v>
          </cell>
          <cell r="H11" t="str">
            <v>17-01-2024</v>
          </cell>
        </row>
        <row r="12">
          <cell r="G12">
            <v>400</v>
          </cell>
          <cell r="H12" t="str">
            <v>18-01-2024</v>
          </cell>
        </row>
        <row r="13">
          <cell r="G13">
            <v>200</v>
          </cell>
          <cell r="H13" t="str">
            <v>19-01-2024</v>
          </cell>
        </row>
        <row r="14">
          <cell r="G14">
            <v>280</v>
          </cell>
          <cell r="H14" t="str">
            <v>20-01-2024</v>
          </cell>
        </row>
        <row r="15">
          <cell r="G15">
            <v>700</v>
          </cell>
          <cell r="H15" t="str">
            <v>22-01-2024</v>
          </cell>
        </row>
        <row r="16">
          <cell r="G16">
            <v>280</v>
          </cell>
          <cell r="H16" t="str">
            <v>23-01-2024</v>
          </cell>
        </row>
        <row r="17">
          <cell r="G17">
            <v>300</v>
          </cell>
          <cell r="H17" t="str">
            <v>24-01-2024</v>
          </cell>
        </row>
        <row r="18">
          <cell r="G18">
            <v>125</v>
          </cell>
          <cell r="H18" t="str">
            <v>26-01-2024</v>
          </cell>
        </row>
        <row r="19">
          <cell r="G19">
            <v>160</v>
          </cell>
          <cell r="H19" t="str">
            <v>28-01-2024</v>
          </cell>
        </row>
        <row r="20">
          <cell r="G20">
            <v>500</v>
          </cell>
          <cell r="H20" t="str">
            <v>29-01-2024</v>
          </cell>
        </row>
        <row r="21">
          <cell r="G21">
            <v>150</v>
          </cell>
          <cell r="H21" t="str">
            <v>30-01-2024</v>
          </cell>
        </row>
        <row r="22">
          <cell r="G22">
            <v>450</v>
          </cell>
          <cell r="H22">
            <v>45293</v>
          </cell>
        </row>
        <row r="23">
          <cell r="G23">
            <v>450</v>
          </cell>
          <cell r="H23">
            <v>45324</v>
          </cell>
        </row>
        <row r="24">
          <cell r="G24">
            <v>175</v>
          </cell>
          <cell r="H24">
            <v>45353</v>
          </cell>
        </row>
        <row r="25">
          <cell r="G25">
            <v>240</v>
          </cell>
          <cell r="H25">
            <v>45384</v>
          </cell>
        </row>
        <row r="26">
          <cell r="G26">
            <v>550</v>
          </cell>
          <cell r="H26">
            <v>45445</v>
          </cell>
        </row>
        <row r="27">
          <cell r="G27">
            <v>140</v>
          </cell>
          <cell r="H27">
            <v>45475</v>
          </cell>
        </row>
        <row r="28">
          <cell r="G28">
            <v>400</v>
          </cell>
          <cell r="H28">
            <v>45506</v>
          </cell>
        </row>
        <row r="29">
          <cell r="G29">
            <v>110</v>
          </cell>
          <cell r="H29">
            <v>45537</v>
          </cell>
        </row>
        <row r="30">
          <cell r="G30">
            <v>216</v>
          </cell>
          <cell r="H30">
            <v>45567</v>
          </cell>
        </row>
        <row r="31">
          <cell r="G31">
            <v>650</v>
          </cell>
          <cell r="H31">
            <v>45628</v>
          </cell>
        </row>
        <row r="32">
          <cell r="G32">
            <v>320</v>
          </cell>
          <cell r="H32" t="str">
            <v>13-02-2024</v>
          </cell>
        </row>
        <row r="33">
          <cell r="G33">
            <v>250</v>
          </cell>
          <cell r="H33" t="str">
            <v>14-02-2024</v>
          </cell>
        </row>
        <row r="34">
          <cell r="G34">
            <v>90</v>
          </cell>
          <cell r="H34" t="str">
            <v>16-02-2024</v>
          </cell>
        </row>
        <row r="35">
          <cell r="G35">
            <v>176</v>
          </cell>
          <cell r="H35" t="str">
            <v>17-02-2024</v>
          </cell>
        </row>
        <row r="36">
          <cell r="G36">
            <v>850</v>
          </cell>
          <cell r="H36" t="str">
            <v>18-02-2024</v>
          </cell>
        </row>
        <row r="37">
          <cell r="G37">
            <v>190</v>
          </cell>
          <cell r="H37" t="str">
            <v>19-02-2024</v>
          </cell>
        </row>
        <row r="38">
          <cell r="G38">
            <v>375</v>
          </cell>
          <cell r="H38" t="str">
            <v>21-02-2024</v>
          </cell>
        </row>
        <row r="39">
          <cell r="G39">
            <v>140</v>
          </cell>
          <cell r="H39" t="str">
            <v>22-02-2024</v>
          </cell>
        </row>
        <row r="40">
          <cell r="G40">
            <v>192</v>
          </cell>
          <cell r="H40" t="str">
            <v>23-02-2024</v>
          </cell>
        </row>
        <row r="41">
          <cell r="G41">
            <v>800</v>
          </cell>
          <cell r="H41" t="str">
            <v>25-02-2024</v>
          </cell>
        </row>
        <row r="42">
          <cell r="G42">
            <v>270</v>
          </cell>
          <cell r="H42" t="str">
            <v>26-02-2024</v>
          </cell>
        </row>
        <row r="43">
          <cell r="G43">
            <v>525</v>
          </cell>
          <cell r="H43" t="str">
            <v>27-02-2024</v>
          </cell>
        </row>
        <row r="44">
          <cell r="G44">
            <v>150</v>
          </cell>
          <cell r="H44" t="str">
            <v>28-02-2024</v>
          </cell>
        </row>
        <row r="45">
          <cell r="G45">
            <v>208</v>
          </cell>
          <cell r="H45">
            <v>45294</v>
          </cell>
        </row>
        <row r="46">
          <cell r="G46">
            <v>700</v>
          </cell>
          <cell r="H46">
            <v>45325</v>
          </cell>
        </row>
        <row r="47">
          <cell r="G47">
            <v>200</v>
          </cell>
          <cell r="H47">
            <v>45354</v>
          </cell>
        </row>
        <row r="48">
          <cell r="G48">
            <v>425</v>
          </cell>
          <cell r="H48">
            <v>45385</v>
          </cell>
        </row>
        <row r="49">
          <cell r="G49">
            <v>95</v>
          </cell>
          <cell r="H49">
            <v>45415</v>
          </cell>
        </row>
        <row r="50">
          <cell r="G50">
            <v>256</v>
          </cell>
          <cell r="H50">
            <v>45446</v>
          </cell>
        </row>
        <row r="51">
          <cell r="G51">
            <v>600</v>
          </cell>
          <cell r="H51">
            <v>45476</v>
          </cell>
        </row>
        <row r="52">
          <cell r="G52">
            <v>250</v>
          </cell>
          <cell r="H52">
            <v>45507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Sales 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4:R10"/>
  <sheetViews>
    <sheetView workbookViewId="0">
      <selection activeCell="K13" sqref="K13"/>
    </sheetView>
  </sheetViews>
  <sheetFormatPr defaultRowHeight="15" x14ac:dyDescent="0.25"/>
  <sheetData>
    <row r="4" spans="8:18" x14ac:dyDescent="0.25">
      <c r="H4" s="75" t="s">
        <v>0</v>
      </c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8:18" x14ac:dyDescent="0.25"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8:18" x14ac:dyDescent="0.25"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</row>
    <row r="7" spans="8:18" x14ac:dyDescent="0.25"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</row>
    <row r="8" spans="8:18" x14ac:dyDescent="0.25"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</row>
    <row r="9" spans="8:18" x14ac:dyDescent="0.25"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</row>
    <row r="10" spans="8:18" x14ac:dyDescent="0.25"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</row>
  </sheetData>
  <mergeCells count="1">
    <mergeCell ref="H4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sqref="A1:A1048576"/>
    </sheetView>
  </sheetViews>
  <sheetFormatPr defaultColWidth="8.85546875" defaultRowHeight="15.75" x14ac:dyDescent="0.25"/>
  <cols>
    <col min="2" max="2" width="14" style="1" customWidth="1"/>
    <col min="3" max="4" width="8.85546875" style="1"/>
    <col min="5" max="5" width="16.140625" style="1" bestFit="1" customWidth="1"/>
    <col min="6" max="16384" width="8.85546875" style="1"/>
  </cols>
  <sheetData>
    <row r="1" spans="1:13" ht="16.5" thickBot="1" x14ac:dyDescent="0.3"/>
    <row r="2" spans="1:13" ht="48" customHeight="1" x14ac:dyDescent="0.35">
      <c r="B2" s="77" t="s">
        <v>21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13" s="12" customFormat="1" ht="16.5" thickBot="1" x14ac:dyDescent="0.3">
      <c r="A3"/>
      <c r="B3" s="21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9.5" thickBot="1" x14ac:dyDescent="0.35">
      <c r="B4" s="32" t="s">
        <v>1</v>
      </c>
      <c r="C4" s="33" t="s">
        <v>2</v>
      </c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B5" s="17" t="s">
        <v>3</v>
      </c>
      <c r="C5" s="18">
        <v>500000</v>
      </c>
      <c r="D5" s="2"/>
      <c r="E5" s="2"/>
      <c r="F5" s="2"/>
      <c r="G5" s="2"/>
      <c r="H5" s="2"/>
      <c r="I5" s="2"/>
      <c r="J5" s="2"/>
      <c r="K5" s="2"/>
      <c r="L5" s="2"/>
      <c r="M5" s="3"/>
    </row>
    <row r="6" spans="1:13" x14ac:dyDescent="0.25">
      <c r="B6" s="13" t="s">
        <v>4</v>
      </c>
      <c r="C6" s="14">
        <v>10500</v>
      </c>
      <c r="D6" s="2"/>
      <c r="E6" s="2"/>
      <c r="F6" s="2"/>
      <c r="G6" s="2"/>
      <c r="H6" s="2"/>
      <c r="I6" s="2"/>
      <c r="J6" s="2"/>
      <c r="K6" s="2"/>
      <c r="L6" s="2"/>
      <c r="M6" s="3"/>
    </row>
    <row r="7" spans="1:13" ht="16.5" thickBot="1" x14ac:dyDescent="0.3">
      <c r="B7" s="15" t="s">
        <v>5</v>
      </c>
      <c r="C7" s="16">
        <v>25000</v>
      </c>
      <c r="D7" s="2"/>
      <c r="E7" s="2"/>
      <c r="F7" s="2"/>
      <c r="G7" s="2"/>
      <c r="H7" s="2"/>
      <c r="I7" s="2"/>
      <c r="J7" s="2"/>
      <c r="K7" s="2"/>
      <c r="L7" s="2"/>
      <c r="M7" s="3"/>
    </row>
    <row r="8" spans="1:13" ht="16.5" thickBot="1" x14ac:dyDescent="0.3">
      <c r="B8" s="21"/>
      <c r="C8" s="10"/>
      <c r="D8" s="2"/>
      <c r="E8" s="2"/>
      <c r="F8" s="2"/>
      <c r="G8" s="2"/>
      <c r="H8" s="2"/>
      <c r="I8" s="2"/>
      <c r="J8" s="2"/>
      <c r="K8" s="2"/>
      <c r="L8" s="2"/>
      <c r="M8" s="3"/>
    </row>
    <row r="9" spans="1:13" ht="18.75" x14ac:dyDescent="0.3">
      <c r="B9" s="85" t="s">
        <v>9</v>
      </c>
      <c r="C9" s="86"/>
      <c r="D9" s="87"/>
      <c r="E9" s="4"/>
      <c r="F9" s="4"/>
      <c r="G9" s="4"/>
      <c r="H9" s="4"/>
      <c r="I9" s="4"/>
      <c r="J9" s="4"/>
      <c r="K9" s="4"/>
      <c r="L9" s="4"/>
      <c r="M9" s="3"/>
    </row>
    <row r="10" spans="1:13" ht="18" customHeight="1" x14ac:dyDescent="0.3">
      <c r="B10" s="82" t="s">
        <v>6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4"/>
    </row>
    <row r="11" spans="1:13" ht="18.75" x14ac:dyDescent="0.3">
      <c r="B11" s="82" t="s">
        <v>7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4"/>
    </row>
    <row r="12" spans="1:13" ht="18.75" x14ac:dyDescent="0.3">
      <c r="B12" s="22" t="s">
        <v>20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</row>
    <row r="13" spans="1:13" ht="18.75" x14ac:dyDescent="0.3">
      <c r="B13" s="82">
        <f>C5*2</f>
        <v>1000000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4"/>
    </row>
    <row r="14" spans="1:13" ht="18.75" x14ac:dyDescent="0.3">
      <c r="B14" s="82">
        <f>C6*2</f>
        <v>21000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4"/>
    </row>
    <row r="15" spans="1:13" ht="18.75" x14ac:dyDescent="0.3">
      <c r="B15" s="82" t="s">
        <v>8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4"/>
    </row>
    <row r="16" spans="1:13" s="12" customFormat="1" ht="18.75" x14ac:dyDescent="0.3">
      <c r="A16"/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90"/>
    </row>
    <row r="17" spans="2:13" ht="18.75" x14ac:dyDescent="0.3">
      <c r="B17" s="80" t="s">
        <v>10</v>
      </c>
      <c r="C17" s="81"/>
      <c r="D17" s="81"/>
      <c r="E17" s="4"/>
      <c r="F17" s="4"/>
      <c r="G17" s="4"/>
      <c r="H17" s="4"/>
      <c r="I17" s="4"/>
      <c r="J17" s="4"/>
      <c r="K17" s="4"/>
      <c r="L17" s="4"/>
      <c r="M17" s="3"/>
    </row>
    <row r="18" spans="2:13" ht="18.75" x14ac:dyDescent="0.3">
      <c r="B18" s="82" t="s">
        <v>11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4"/>
    </row>
    <row r="19" spans="2:13" ht="18.75" x14ac:dyDescent="0.3">
      <c r="B19" s="82" t="s">
        <v>13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4"/>
    </row>
    <row r="20" spans="2:13" ht="18.75" x14ac:dyDescent="0.3">
      <c r="B20" s="82" t="s">
        <v>7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4"/>
    </row>
    <row r="21" spans="2:13" ht="18.75" x14ac:dyDescent="0.3">
      <c r="B21" s="82" t="s">
        <v>19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4"/>
    </row>
    <row r="22" spans="2:13" ht="18.75" x14ac:dyDescent="0.3">
      <c r="B22" s="82" t="s">
        <v>12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4"/>
    </row>
    <row r="23" spans="2:13" ht="20.25" x14ac:dyDescent="0.35">
      <c r="B23" s="82" t="s">
        <v>18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4"/>
    </row>
    <row r="24" spans="2:13" ht="18.75" x14ac:dyDescent="0.3">
      <c r="B24" s="94"/>
      <c r="C24" s="95"/>
      <c r="D24" s="95"/>
      <c r="E24" s="96"/>
      <c r="F24" s="96"/>
      <c r="G24" s="96"/>
      <c r="H24" s="96"/>
      <c r="I24" s="96"/>
      <c r="J24" s="96"/>
      <c r="K24" s="96"/>
      <c r="L24" s="96"/>
      <c r="M24" s="97"/>
    </row>
    <row r="25" spans="2:13" ht="18.75" x14ac:dyDescent="0.3">
      <c r="B25" s="91" t="s">
        <v>14</v>
      </c>
      <c r="C25" s="92"/>
      <c r="D25" s="93"/>
      <c r="E25" s="19"/>
      <c r="F25" s="19"/>
      <c r="G25" s="19"/>
      <c r="H25" s="19"/>
      <c r="I25" s="19"/>
      <c r="J25" s="19"/>
      <c r="K25" s="19"/>
      <c r="L25" s="19"/>
      <c r="M25" s="20"/>
    </row>
    <row r="26" spans="2:13" ht="18.75" x14ac:dyDescent="0.3">
      <c r="B26" s="82" t="s">
        <v>15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4"/>
    </row>
    <row r="27" spans="2:13" ht="18.75" x14ac:dyDescent="0.3">
      <c r="B27" s="82" t="s">
        <v>16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4"/>
    </row>
    <row r="28" spans="2:13" x14ac:dyDescent="0.25">
      <c r="B28" s="98">
        <f>$C5*1</f>
        <v>500000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100"/>
    </row>
    <row r="29" spans="2:13" ht="18.75" x14ac:dyDescent="0.3">
      <c r="B29" s="82" t="s">
        <v>17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4"/>
    </row>
    <row r="30" spans="2:13" ht="16.5" thickBot="1" x14ac:dyDescent="0.3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</row>
  </sheetData>
  <mergeCells count="21">
    <mergeCell ref="B23:M23"/>
    <mergeCell ref="B24:M24"/>
    <mergeCell ref="B26:M26"/>
    <mergeCell ref="B27:M27"/>
    <mergeCell ref="B28:M28"/>
    <mergeCell ref="B2:M2"/>
    <mergeCell ref="B17:D17"/>
    <mergeCell ref="B29:M29"/>
    <mergeCell ref="B9:D9"/>
    <mergeCell ref="B11:M11"/>
    <mergeCell ref="B10:M10"/>
    <mergeCell ref="B13:M13"/>
    <mergeCell ref="B14:M14"/>
    <mergeCell ref="B16:M16"/>
    <mergeCell ref="B15:M15"/>
    <mergeCell ref="B18:M18"/>
    <mergeCell ref="B25:D25"/>
    <mergeCell ref="B19:M19"/>
    <mergeCell ref="B20:M20"/>
    <mergeCell ref="B22:M22"/>
    <mergeCell ref="B21:M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"/>
  <sheetViews>
    <sheetView workbookViewId="0">
      <selection activeCell="E24" sqref="E24"/>
    </sheetView>
  </sheetViews>
  <sheetFormatPr defaultRowHeight="15" x14ac:dyDescent="0.25"/>
  <cols>
    <col min="2" max="2" width="13.7109375" bestFit="1" customWidth="1"/>
    <col min="3" max="3" width="9.85546875" bestFit="1" customWidth="1"/>
    <col min="4" max="4" width="9.7109375" bestFit="1" customWidth="1"/>
    <col min="5" max="5" width="9.85546875" bestFit="1" customWidth="1"/>
  </cols>
  <sheetData>
    <row r="1" spans="2:10" ht="21" x14ac:dyDescent="0.35">
      <c r="B1" s="109" t="s">
        <v>22</v>
      </c>
      <c r="C1" s="110"/>
      <c r="D1" s="110"/>
      <c r="E1" s="110"/>
      <c r="F1" s="110"/>
      <c r="G1" s="110"/>
      <c r="H1" s="110"/>
      <c r="I1" s="110"/>
      <c r="J1" s="111"/>
    </row>
    <row r="2" spans="2:10" ht="15.75" thickBot="1" x14ac:dyDescent="0.3">
      <c r="B2" s="103"/>
      <c r="C2" s="104"/>
      <c r="D2" s="104"/>
      <c r="E2" s="104"/>
      <c r="F2" s="104"/>
      <c r="G2" s="104"/>
      <c r="H2" s="104"/>
      <c r="I2" s="104"/>
      <c r="J2" s="105"/>
    </row>
    <row r="3" spans="2:10" ht="21" x14ac:dyDescent="0.35">
      <c r="B3" s="39" t="s">
        <v>24</v>
      </c>
      <c r="C3" s="40" t="s">
        <v>23</v>
      </c>
      <c r="D3" s="103"/>
      <c r="E3" s="104"/>
      <c r="F3" s="104"/>
      <c r="G3" s="104"/>
      <c r="H3" s="104"/>
      <c r="I3" s="104"/>
      <c r="J3" s="105"/>
    </row>
    <row r="4" spans="2:10" ht="18.75" x14ac:dyDescent="0.3">
      <c r="B4" s="28" t="s">
        <v>26</v>
      </c>
      <c r="C4" s="29">
        <v>500000</v>
      </c>
      <c r="D4" s="103"/>
      <c r="E4" s="104"/>
      <c r="F4" s="104"/>
      <c r="G4" s="104"/>
      <c r="H4" s="104"/>
      <c r="I4" s="104"/>
      <c r="J4" s="105"/>
    </row>
    <row r="5" spans="2:10" ht="19.5" thickBot="1" x14ac:dyDescent="0.35">
      <c r="B5" s="30" t="s">
        <v>4</v>
      </c>
      <c r="C5" s="31">
        <v>10500</v>
      </c>
      <c r="D5" s="103"/>
      <c r="E5" s="104"/>
      <c r="F5" s="104"/>
      <c r="G5" s="104"/>
      <c r="H5" s="104"/>
      <c r="I5" s="104"/>
      <c r="J5" s="105"/>
    </row>
    <row r="6" spans="2:10" x14ac:dyDescent="0.25">
      <c r="B6" s="106"/>
      <c r="C6" s="107"/>
      <c r="D6" s="107"/>
      <c r="E6" s="107"/>
      <c r="F6" s="107"/>
      <c r="G6" s="107"/>
      <c r="H6" s="107"/>
      <c r="I6" s="107"/>
      <c r="J6" s="108"/>
    </row>
    <row r="7" spans="2:10" ht="18.75" x14ac:dyDescent="0.3">
      <c r="B7" s="112" t="s">
        <v>25</v>
      </c>
      <c r="C7" s="112"/>
      <c r="D7" s="112"/>
      <c r="E7" s="112"/>
      <c r="F7" s="112"/>
      <c r="G7" s="112"/>
      <c r="H7" s="112"/>
      <c r="I7" s="112"/>
      <c r="J7" s="112"/>
    </row>
    <row r="8" spans="2:10" ht="26.25" x14ac:dyDescent="0.4">
      <c r="B8" s="102">
        <f>SUMIF(B4:B4,"Car",C4:C4)+SUMIF(B5:B5,"Bicycle",C5:C5)</f>
        <v>510500</v>
      </c>
      <c r="C8" s="102"/>
      <c r="D8" s="102"/>
      <c r="E8" s="102"/>
      <c r="F8" s="102"/>
      <c r="G8" s="102"/>
      <c r="H8" s="102"/>
      <c r="I8" s="102"/>
      <c r="J8" s="102"/>
    </row>
    <row r="9" spans="2:10" x14ac:dyDescent="0.25">
      <c r="B9" s="101"/>
      <c r="C9" s="101"/>
      <c r="D9" s="101"/>
      <c r="E9" s="101"/>
      <c r="F9" s="101"/>
      <c r="G9" s="101"/>
      <c r="H9" s="101"/>
      <c r="I9" s="101"/>
      <c r="J9" s="101"/>
    </row>
    <row r="10" spans="2:10" ht="18.75" x14ac:dyDescent="0.3">
      <c r="B10" s="83" t="s">
        <v>27</v>
      </c>
      <c r="C10" s="83"/>
      <c r="D10" s="83"/>
      <c r="E10" s="83"/>
      <c r="F10" s="83"/>
      <c r="G10" s="83"/>
      <c r="H10" s="83"/>
      <c r="I10" s="83"/>
      <c r="J10" s="83"/>
    </row>
    <row r="11" spans="2:10" ht="18.75" x14ac:dyDescent="0.3">
      <c r="B11" s="83" t="s">
        <v>28</v>
      </c>
      <c r="C11" s="83"/>
      <c r="D11" s="83"/>
      <c r="E11" s="83"/>
      <c r="F11" s="83"/>
      <c r="G11" s="83"/>
      <c r="H11" s="83"/>
      <c r="I11" s="83"/>
      <c r="J11" s="83"/>
    </row>
    <row r="12" spans="2:10" x14ac:dyDescent="0.25">
      <c r="B12" s="101"/>
      <c r="C12" s="101"/>
      <c r="D12" s="101"/>
      <c r="E12" s="101"/>
      <c r="F12" s="101"/>
      <c r="G12" s="101"/>
      <c r="H12" s="101"/>
      <c r="I12" s="101"/>
      <c r="J12" s="101"/>
    </row>
  </sheetData>
  <mergeCells count="10">
    <mergeCell ref="B1:J1"/>
    <mergeCell ref="B7:J7"/>
    <mergeCell ref="B12:J12"/>
    <mergeCell ref="B11:J11"/>
    <mergeCell ref="B10:J10"/>
    <mergeCell ref="B9:J9"/>
    <mergeCell ref="B8:J8"/>
    <mergeCell ref="B2:J2"/>
    <mergeCell ref="B6:J6"/>
    <mergeCell ref="D3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F22" sqref="F22"/>
    </sheetView>
  </sheetViews>
  <sheetFormatPr defaultRowHeight="15" x14ac:dyDescent="0.25"/>
  <cols>
    <col min="2" max="2" width="12.85546875" bestFit="1" customWidth="1"/>
  </cols>
  <sheetData>
    <row r="1" spans="1:13" ht="26.25" customHeight="1" x14ac:dyDescent="0.25">
      <c r="A1" s="56"/>
      <c r="B1" s="114" t="s">
        <v>29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5"/>
    </row>
    <row r="2" spans="1:13" ht="15.75" thickBot="1" x14ac:dyDescent="0.3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3" ht="21" x14ac:dyDescent="0.35">
      <c r="A3" s="34"/>
      <c r="B3" s="43" t="s">
        <v>30</v>
      </c>
      <c r="C3" s="44" t="s">
        <v>23</v>
      </c>
      <c r="D3" s="45" t="s">
        <v>31</v>
      </c>
      <c r="E3" s="35"/>
      <c r="F3" s="35"/>
      <c r="G3" s="35"/>
      <c r="H3" s="35"/>
      <c r="I3" s="35"/>
      <c r="J3" s="35"/>
      <c r="K3" s="35"/>
      <c r="L3" s="35"/>
      <c r="M3" s="36"/>
    </row>
    <row r="4" spans="1:13" x14ac:dyDescent="0.25">
      <c r="A4" s="34"/>
      <c r="B4" s="24" t="s">
        <v>32</v>
      </c>
      <c r="C4" s="23">
        <v>90</v>
      </c>
      <c r="D4" s="25">
        <v>1000</v>
      </c>
      <c r="E4" s="35"/>
      <c r="F4" s="35"/>
      <c r="G4" s="35"/>
      <c r="H4" s="35"/>
      <c r="I4" s="35"/>
      <c r="J4" s="35"/>
      <c r="K4" s="35"/>
      <c r="L4" s="35"/>
      <c r="M4" s="36"/>
    </row>
    <row r="5" spans="1:13" x14ac:dyDescent="0.25">
      <c r="A5" s="34"/>
      <c r="B5" s="24" t="s">
        <v>33</v>
      </c>
      <c r="C5" s="23">
        <v>150</v>
      </c>
      <c r="D5" s="25">
        <v>1200</v>
      </c>
      <c r="E5" s="35"/>
      <c r="F5" s="35"/>
      <c r="G5" s="35"/>
      <c r="H5" s="35"/>
      <c r="I5" s="35"/>
      <c r="J5" s="35"/>
      <c r="K5" s="35"/>
      <c r="L5" s="35"/>
      <c r="M5" s="36"/>
    </row>
    <row r="6" spans="1:13" ht="15.75" thickBot="1" x14ac:dyDescent="0.3">
      <c r="A6" s="34"/>
      <c r="B6" s="26" t="s">
        <v>34</v>
      </c>
      <c r="C6" s="42">
        <v>250</v>
      </c>
      <c r="D6" s="27">
        <v>1500</v>
      </c>
      <c r="E6" s="35"/>
      <c r="F6" s="35"/>
      <c r="G6" s="35"/>
      <c r="H6" s="35"/>
      <c r="I6" s="35"/>
      <c r="J6" s="35"/>
      <c r="K6" s="35"/>
      <c r="L6" s="35"/>
      <c r="M6" s="36"/>
    </row>
    <row r="7" spans="1:13" x14ac:dyDescent="0.25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6"/>
    </row>
    <row r="8" spans="1:13" ht="18" x14ac:dyDescent="0.25">
      <c r="A8" s="57" t="s">
        <v>38</v>
      </c>
      <c r="B8" s="58" t="s">
        <v>35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6"/>
    </row>
    <row r="9" spans="1:13" ht="15.75" x14ac:dyDescent="0.25">
      <c r="A9" s="34"/>
      <c r="B9" s="59" t="s">
        <v>36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6"/>
    </row>
    <row r="10" spans="1:13" ht="15.75" x14ac:dyDescent="0.25">
      <c r="A10" s="34"/>
      <c r="B10" s="59" t="s">
        <v>37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6"/>
    </row>
    <row r="11" spans="1:13" x14ac:dyDescent="0.25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6"/>
    </row>
    <row r="12" spans="1:13" ht="18.75" thickBot="1" x14ac:dyDescent="0.3">
      <c r="A12" s="57" t="s">
        <v>38</v>
      </c>
      <c r="B12" s="58" t="s">
        <v>39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6"/>
    </row>
    <row r="13" spans="1:13" x14ac:dyDescent="0.25">
      <c r="A13" s="34"/>
      <c r="B13" s="52" t="s">
        <v>40</v>
      </c>
      <c r="C13" s="53" t="s">
        <v>23</v>
      </c>
      <c r="D13" s="54" t="s">
        <v>41</v>
      </c>
      <c r="E13" s="35"/>
      <c r="F13" s="35"/>
      <c r="G13" s="35"/>
      <c r="H13" s="35"/>
      <c r="I13" s="35"/>
      <c r="J13" s="35"/>
      <c r="K13" s="35"/>
      <c r="L13" s="35"/>
      <c r="M13" s="36"/>
    </row>
    <row r="14" spans="1:13" x14ac:dyDescent="0.25">
      <c r="A14" s="34"/>
      <c r="B14" s="47" t="s">
        <v>42</v>
      </c>
      <c r="C14" s="46">
        <v>150</v>
      </c>
      <c r="D14" s="48">
        <v>1200</v>
      </c>
      <c r="E14" s="35"/>
      <c r="F14" s="35"/>
      <c r="G14" s="35"/>
      <c r="H14" s="35"/>
      <c r="I14" s="35"/>
      <c r="J14" s="35"/>
      <c r="K14" s="35"/>
      <c r="L14" s="35"/>
      <c r="M14" s="36"/>
    </row>
    <row r="15" spans="1:13" ht="15.75" thickBot="1" x14ac:dyDescent="0.3">
      <c r="A15" s="34"/>
      <c r="B15" s="49" t="s">
        <v>34</v>
      </c>
      <c r="C15" s="50">
        <v>250</v>
      </c>
      <c r="D15" s="51">
        <v>1500</v>
      </c>
      <c r="E15" s="35"/>
      <c r="F15" s="35"/>
      <c r="G15" s="35"/>
      <c r="H15" s="35"/>
      <c r="I15" s="35"/>
      <c r="J15" s="35"/>
      <c r="K15" s="35"/>
      <c r="L15" s="35"/>
      <c r="M15" s="36"/>
    </row>
    <row r="16" spans="1:13" ht="18.75" x14ac:dyDescent="0.3">
      <c r="A16" s="60" t="s">
        <v>44</v>
      </c>
      <c r="B16" s="113" t="s">
        <v>43</v>
      </c>
      <c r="C16" s="113"/>
      <c r="D16" s="113"/>
      <c r="E16" s="113"/>
      <c r="F16" s="113"/>
      <c r="G16" s="113"/>
      <c r="H16" s="113"/>
      <c r="I16" s="35"/>
      <c r="J16" s="35"/>
      <c r="K16" s="35"/>
      <c r="L16" s="35"/>
      <c r="M16" s="36"/>
    </row>
    <row r="17" spans="1:13" ht="23.25" x14ac:dyDescent="0.35">
      <c r="A17" s="34"/>
      <c r="B17" s="61">
        <f>AVERAGEIFS(D14:D15,C14:C15, "&gt;100",C14:C15,"&lt;300")</f>
        <v>1350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6"/>
    </row>
    <row r="18" spans="1:13" ht="21" x14ac:dyDescent="0.35">
      <c r="A18" s="34"/>
      <c r="B18" s="62" t="s">
        <v>45</v>
      </c>
      <c r="C18" s="63"/>
      <c r="D18" s="35"/>
      <c r="E18" s="35"/>
      <c r="F18" s="35"/>
      <c r="G18" s="35"/>
      <c r="H18" s="35"/>
      <c r="I18" s="35"/>
      <c r="J18" s="35"/>
      <c r="K18" s="35"/>
      <c r="L18" s="35"/>
      <c r="M18" s="36"/>
    </row>
    <row r="19" spans="1:13" ht="21" x14ac:dyDescent="0.35">
      <c r="A19" s="34"/>
      <c r="B19" s="64" t="s">
        <v>46</v>
      </c>
      <c r="C19" s="63"/>
      <c r="D19" s="35"/>
      <c r="E19" s="35"/>
      <c r="F19" s="35"/>
      <c r="G19" s="35"/>
      <c r="H19" s="35"/>
      <c r="I19" s="35"/>
      <c r="J19" s="35"/>
      <c r="K19" s="35"/>
      <c r="L19" s="35"/>
      <c r="M19" s="36"/>
    </row>
    <row r="20" spans="1:13" x14ac:dyDescent="0.25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</row>
    <row r="21" spans="1:13" ht="15.75" thickBot="1" x14ac:dyDescent="0.3">
      <c r="A21" s="65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8"/>
    </row>
  </sheetData>
  <mergeCells count="2">
    <mergeCell ref="B16:H16"/>
    <mergeCell ref="B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33" workbookViewId="0">
      <selection activeCell="F55" sqref="F55"/>
    </sheetView>
  </sheetViews>
  <sheetFormatPr defaultRowHeight="15" x14ac:dyDescent="0.25"/>
  <cols>
    <col min="1" max="1" width="8.140625" bestFit="1" customWidth="1"/>
    <col min="2" max="2" width="15" bestFit="1" customWidth="1"/>
    <col min="3" max="3" width="7.140625" bestFit="1" customWidth="1"/>
    <col min="4" max="4" width="9.85546875" bestFit="1" customWidth="1"/>
    <col min="5" max="5" width="8.85546875" bestFit="1" customWidth="1"/>
    <col min="6" max="6" width="9.42578125" bestFit="1" customWidth="1"/>
    <col min="7" max="7" width="11.5703125" bestFit="1" customWidth="1"/>
  </cols>
  <sheetData>
    <row r="1" spans="1:7" ht="15.75" x14ac:dyDescent="0.25">
      <c r="A1" s="66" t="s">
        <v>47</v>
      </c>
      <c r="B1" s="66" t="s">
        <v>48</v>
      </c>
      <c r="C1" s="66" t="s">
        <v>49</v>
      </c>
      <c r="D1" s="66" t="s">
        <v>50</v>
      </c>
      <c r="E1" s="66" t="s">
        <v>51</v>
      </c>
      <c r="F1" s="66" t="s">
        <v>52</v>
      </c>
      <c r="G1" s="66" t="s">
        <v>53</v>
      </c>
    </row>
    <row r="2" spans="1:7" ht="15.75" x14ac:dyDescent="0.25">
      <c r="A2" s="67">
        <v>1001</v>
      </c>
      <c r="B2" s="68" t="s">
        <v>54</v>
      </c>
      <c r="C2" s="68" t="s">
        <v>55</v>
      </c>
      <c r="D2" s="68" t="s">
        <v>56</v>
      </c>
      <c r="E2" s="67">
        <v>10</v>
      </c>
      <c r="F2" s="67">
        <v>50</v>
      </c>
      <c r="G2" s="69">
        <v>45413</v>
      </c>
    </row>
    <row r="3" spans="1:7" ht="15.75" x14ac:dyDescent="0.25">
      <c r="A3" s="67">
        <v>1002</v>
      </c>
      <c r="B3" s="68" t="s">
        <v>57</v>
      </c>
      <c r="C3" s="68" t="s">
        <v>58</v>
      </c>
      <c r="D3" s="68" t="s">
        <v>59</v>
      </c>
      <c r="E3" s="67">
        <v>20</v>
      </c>
      <c r="F3" s="67">
        <v>10</v>
      </c>
      <c r="G3" s="69">
        <v>45444</v>
      </c>
    </row>
    <row r="4" spans="1:7" ht="15.75" x14ac:dyDescent="0.25">
      <c r="A4" s="67">
        <v>1003</v>
      </c>
      <c r="B4" s="68" t="s">
        <v>60</v>
      </c>
      <c r="C4" s="68" t="s">
        <v>61</v>
      </c>
      <c r="D4" s="68" t="s">
        <v>62</v>
      </c>
      <c r="E4" s="67">
        <v>15</v>
      </c>
      <c r="F4" s="67">
        <v>25</v>
      </c>
      <c r="G4" s="69">
        <v>45474</v>
      </c>
    </row>
    <row r="5" spans="1:7" ht="15.75" x14ac:dyDescent="0.25">
      <c r="A5" s="67">
        <v>1004</v>
      </c>
      <c r="B5" s="68" t="s">
        <v>63</v>
      </c>
      <c r="C5" s="68" t="s">
        <v>64</v>
      </c>
      <c r="D5" s="68" t="s">
        <v>56</v>
      </c>
      <c r="E5" s="67">
        <v>5</v>
      </c>
      <c r="F5" s="67">
        <v>50</v>
      </c>
      <c r="G5" s="69">
        <v>45505</v>
      </c>
    </row>
    <row r="6" spans="1:7" ht="15.75" x14ac:dyDescent="0.25">
      <c r="A6" s="67">
        <v>1005</v>
      </c>
      <c r="B6" s="68" t="s">
        <v>65</v>
      </c>
      <c r="C6" s="68" t="s">
        <v>55</v>
      </c>
      <c r="D6" s="68" t="s">
        <v>66</v>
      </c>
      <c r="E6" s="67">
        <v>30</v>
      </c>
      <c r="F6" s="67">
        <v>5</v>
      </c>
      <c r="G6" s="69">
        <v>45566</v>
      </c>
    </row>
    <row r="7" spans="1:7" ht="15.75" x14ac:dyDescent="0.25">
      <c r="A7" s="67">
        <v>1006</v>
      </c>
      <c r="B7" s="68" t="s">
        <v>67</v>
      </c>
      <c r="C7" s="68" t="s">
        <v>58</v>
      </c>
      <c r="D7" s="68" t="s">
        <v>56</v>
      </c>
      <c r="E7" s="67">
        <v>12</v>
      </c>
      <c r="F7" s="67">
        <v>50</v>
      </c>
      <c r="G7" s="69">
        <v>45597</v>
      </c>
    </row>
    <row r="8" spans="1:7" ht="15.75" x14ac:dyDescent="0.25">
      <c r="A8" s="67">
        <v>1007</v>
      </c>
      <c r="B8" s="68" t="s">
        <v>68</v>
      </c>
      <c r="C8" s="68" t="s">
        <v>61</v>
      </c>
      <c r="D8" s="68" t="s">
        <v>69</v>
      </c>
      <c r="E8" s="67">
        <v>25</v>
      </c>
      <c r="F8" s="67">
        <v>8</v>
      </c>
      <c r="G8" s="67" t="s">
        <v>70</v>
      </c>
    </row>
    <row r="9" spans="1:7" ht="15.75" x14ac:dyDescent="0.25">
      <c r="A9" s="67">
        <v>1008</v>
      </c>
      <c r="B9" s="68" t="s">
        <v>71</v>
      </c>
      <c r="C9" s="68" t="s">
        <v>64</v>
      </c>
      <c r="D9" s="68" t="s">
        <v>59</v>
      </c>
      <c r="E9" s="67">
        <v>18</v>
      </c>
      <c r="F9" s="67">
        <v>10</v>
      </c>
      <c r="G9" s="67" t="s">
        <v>72</v>
      </c>
    </row>
    <row r="10" spans="1:7" ht="15.75" x14ac:dyDescent="0.25">
      <c r="A10" s="67">
        <v>1009</v>
      </c>
      <c r="B10" s="68" t="s">
        <v>73</v>
      </c>
      <c r="C10" s="68" t="s">
        <v>55</v>
      </c>
      <c r="D10" s="68" t="s">
        <v>62</v>
      </c>
      <c r="E10" s="67">
        <v>22</v>
      </c>
      <c r="F10" s="67">
        <v>25</v>
      </c>
      <c r="G10" s="67" t="s">
        <v>74</v>
      </c>
    </row>
    <row r="11" spans="1:7" ht="15.75" x14ac:dyDescent="0.25">
      <c r="A11" s="67">
        <v>1010</v>
      </c>
      <c r="B11" s="68" t="s">
        <v>75</v>
      </c>
      <c r="C11" s="68" t="s">
        <v>58</v>
      </c>
      <c r="D11" s="68" t="s">
        <v>56</v>
      </c>
      <c r="E11" s="67">
        <v>8</v>
      </c>
      <c r="F11" s="67">
        <v>50</v>
      </c>
      <c r="G11" s="67" t="s">
        <v>76</v>
      </c>
    </row>
    <row r="12" spans="1:7" ht="15.75" x14ac:dyDescent="0.25">
      <c r="A12" s="67">
        <v>1011</v>
      </c>
      <c r="B12" s="68" t="s">
        <v>77</v>
      </c>
      <c r="C12" s="68" t="s">
        <v>61</v>
      </c>
      <c r="D12" s="68" t="s">
        <v>66</v>
      </c>
      <c r="E12" s="67">
        <v>40</v>
      </c>
      <c r="F12" s="67">
        <v>5</v>
      </c>
      <c r="G12" s="67" t="s">
        <v>78</v>
      </c>
    </row>
    <row r="13" spans="1:7" ht="15.75" x14ac:dyDescent="0.25">
      <c r="A13" s="67">
        <v>1012</v>
      </c>
      <c r="B13" s="68" t="s">
        <v>79</v>
      </c>
      <c r="C13" s="68" t="s">
        <v>64</v>
      </c>
      <c r="D13" s="68" t="s">
        <v>69</v>
      </c>
      <c r="E13" s="67">
        <v>35</v>
      </c>
      <c r="F13" s="67">
        <v>8</v>
      </c>
      <c r="G13" s="67" t="s">
        <v>80</v>
      </c>
    </row>
    <row r="14" spans="1:7" ht="15.75" x14ac:dyDescent="0.25">
      <c r="A14" s="67">
        <v>1013</v>
      </c>
      <c r="B14" s="68" t="s">
        <v>81</v>
      </c>
      <c r="C14" s="68" t="s">
        <v>55</v>
      </c>
      <c r="D14" s="68" t="s">
        <v>56</v>
      </c>
      <c r="E14" s="67">
        <v>14</v>
      </c>
      <c r="F14" s="67">
        <v>50</v>
      </c>
      <c r="G14" s="67" t="s">
        <v>82</v>
      </c>
    </row>
    <row r="15" spans="1:7" ht="15.75" x14ac:dyDescent="0.25">
      <c r="A15" s="67">
        <v>1014</v>
      </c>
      <c r="B15" s="68" t="s">
        <v>83</v>
      </c>
      <c r="C15" s="68" t="s">
        <v>58</v>
      </c>
      <c r="D15" s="68" t="s">
        <v>59</v>
      </c>
      <c r="E15" s="67">
        <v>28</v>
      </c>
      <c r="F15" s="67">
        <v>10</v>
      </c>
      <c r="G15" s="67" t="s">
        <v>84</v>
      </c>
    </row>
    <row r="16" spans="1:7" ht="15.75" x14ac:dyDescent="0.25">
      <c r="A16" s="67">
        <v>1015</v>
      </c>
      <c r="B16" s="68" t="s">
        <v>85</v>
      </c>
      <c r="C16" s="68" t="s">
        <v>61</v>
      </c>
      <c r="D16" s="68" t="s">
        <v>62</v>
      </c>
      <c r="E16" s="67">
        <v>12</v>
      </c>
      <c r="F16" s="67">
        <v>25</v>
      </c>
      <c r="G16" s="67" t="s">
        <v>86</v>
      </c>
    </row>
    <row r="17" spans="1:7" ht="15.75" x14ac:dyDescent="0.25">
      <c r="A17" s="67">
        <v>1016</v>
      </c>
      <c r="B17" s="68" t="s">
        <v>87</v>
      </c>
      <c r="C17" s="68" t="s">
        <v>64</v>
      </c>
      <c r="D17" s="68" t="s">
        <v>66</v>
      </c>
      <c r="E17" s="67">
        <v>25</v>
      </c>
      <c r="F17" s="67">
        <v>5</v>
      </c>
      <c r="G17" s="67" t="s">
        <v>88</v>
      </c>
    </row>
    <row r="18" spans="1:7" ht="15.75" x14ac:dyDescent="0.25">
      <c r="A18" s="67">
        <v>1017</v>
      </c>
      <c r="B18" s="68" t="s">
        <v>89</v>
      </c>
      <c r="C18" s="68" t="s">
        <v>55</v>
      </c>
      <c r="D18" s="68" t="s">
        <v>69</v>
      </c>
      <c r="E18" s="67">
        <v>20</v>
      </c>
      <c r="F18" s="67">
        <v>8</v>
      </c>
      <c r="G18" s="67" t="s">
        <v>90</v>
      </c>
    </row>
    <row r="19" spans="1:7" ht="15.75" x14ac:dyDescent="0.25">
      <c r="A19" s="67">
        <v>1018</v>
      </c>
      <c r="B19" s="68" t="s">
        <v>91</v>
      </c>
      <c r="C19" s="68" t="s">
        <v>58</v>
      </c>
      <c r="D19" s="68" t="s">
        <v>56</v>
      </c>
      <c r="E19" s="67">
        <v>10</v>
      </c>
      <c r="F19" s="67">
        <v>50</v>
      </c>
      <c r="G19" s="67" t="s">
        <v>92</v>
      </c>
    </row>
    <row r="20" spans="1:7" ht="15.75" x14ac:dyDescent="0.25">
      <c r="A20" s="67">
        <v>1019</v>
      </c>
      <c r="B20" s="68" t="s">
        <v>93</v>
      </c>
      <c r="C20" s="68" t="s">
        <v>61</v>
      </c>
      <c r="D20" s="68" t="s">
        <v>59</v>
      </c>
      <c r="E20" s="67">
        <v>15</v>
      </c>
      <c r="F20" s="67">
        <v>10</v>
      </c>
      <c r="G20" s="67" t="s">
        <v>94</v>
      </c>
    </row>
    <row r="21" spans="1:7" ht="15.75" x14ac:dyDescent="0.25">
      <c r="A21" s="67">
        <v>1020</v>
      </c>
      <c r="B21" s="68" t="s">
        <v>95</v>
      </c>
      <c r="C21" s="68" t="s">
        <v>64</v>
      </c>
      <c r="D21" s="68" t="s">
        <v>62</v>
      </c>
      <c r="E21" s="67">
        <v>18</v>
      </c>
      <c r="F21" s="67">
        <v>25</v>
      </c>
      <c r="G21" s="69">
        <v>45293</v>
      </c>
    </row>
    <row r="22" spans="1:7" ht="15.75" x14ac:dyDescent="0.25">
      <c r="A22" s="67">
        <v>1021</v>
      </c>
      <c r="B22" s="68" t="s">
        <v>96</v>
      </c>
      <c r="C22" s="68" t="s">
        <v>55</v>
      </c>
      <c r="D22" s="68" t="s">
        <v>56</v>
      </c>
      <c r="E22" s="67">
        <v>9</v>
      </c>
      <c r="F22" s="67">
        <v>50</v>
      </c>
      <c r="G22" s="69">
        <v>45324</v>
      </c>
    </row>
    <row r="23" spans="1:7" ht="15.75" x14ac:dyDescent="0.25">
      <c r="A23" s="67">
        <v>1022</v>
      </c>
      <c r="B23" s="68" t="s">
        <v>97</v>
      </c>
      <c r="C23" s="68" t="s">
        <v>58</v>
      </c>
      <c r="D23" s="68" t="s">
        <v>66</v>
      </c>
      <c r="E23" s="67">
        <v>35</v>
      </c>
      <c r="F23" s="67">
        <v>5</v>
      </c>
      <c r="G23" s="69">
        <v>45353</v>
      </c>
    </row>
    <row r="24" spans="1:7" ht="15.75" x14ac:dyDescent="0.25">
      <c r="A24" s="67">
        <v>1023</v>
      </c>
      <c r="B24" s="68" t="s">
        <v>98</v>
      </c>
      <c r="C24" s="68" t="s">
        <v>61</v>
      </c>
      <c r="D24" s="68" t="s">
        <v>69</v>
      </c>
      <c r="E24" s="67">
        <v>30</v>
      </c>
      <c r="F24" s="67">
        <v>8</v>
      </c>
      <c r="G24" s="69">
        <v>45384</v>
      </c>
    </row>
    <row r="25" spans="1:7" ht="15.75" x14ac:dyDescent="0.25">
      <c r="A25" s="67">
        <v>1024</v>
      </c>
      <c r="B25" s="68" t="s">
        <v>99</v>
      </c>
      <c r="C25" s="68" t="s">
        <v>64</v>
      </c>
      <c r="D25" s="68" t="s">
        <v>56</v>
      </c>
      <c r="E25" s="67">
        <v>11</v>
      </c>
      <c r="F25" s="67">
        <v>50</v>
      </c>
      <c r="G25" s="69">
        <v>45445</v>
      </c>
    </row>
    <row r="26" spans="1:7" ht="15.75" x14ac:dyDescent="0.25">
      <c r="A26" s="67">
        <v>1025</v>
      </c>
      <c r="B26" s="68" t="s">
        <v>100</v>
      </c>
      <c r="C26" s="68" t="s">
        <v>55</v>
      </c>
      <c r="D26" s="68" t="s">
        <v>59</v>
      </c>
      <c r="E26" s="67">
        <v>14</v>
      </c>
      <c r="F26" s="67">
        <v>10</v>
      </c>
      <c r="G26" s="69">
        <v>45475</v>
      </c>
    </row>
    <row r="27" spans="1:7" ht="15.75" x14ac:dyDescent="0.25">
      <c r="A27" s="67">
        <v>1026</v>
      </c>
      <c r="B27" s="68" t="s">
        <v>101</v>
      </c>
      <c r="C27" s="68" t="s">
        <v>58</v>
      </c>
      <c r="D27" s="68" t="s">
        <v>62</v>
      </c>
      <c r="E27" s="67">
        <v>16</v>
      </c>
      <c r="F27" s="67">
        <v>25</v>
      </c>
      <c r="G27" s="69">
        <v>45506</v>
      </c>
    </row>
    <row r="28" spans="1:7" ht="15.75" x14ac:dyDescent="0.25">
      <c r="A28" s="67">
        <v>1027</v>
      </c>
      <c r="B28" s="68" t="s">
        <v>102</v>
      </c>
      <c r="C28" s="68" t="s">
        <v>61</v>
      </c>
      <c r="D28" s="68" t="s">
        <v>66</v>
      </c>
      <c r="E28" s="67">
        <v>22</v>
      </c>
      <c r="F28" s="67">
        <v>5</v>
      </c>
      <c r="G28" s="69">
        <v>45537</v>
      </c>
    </row>
    <row r="29" spans="1:7" ht="15.75" x14ac:dyDescent="0.25">
      <c r="A29" s="67">
        <v>1028</v>
      </c>
      <c r="B29" s="68" t="s">
        <v>103</v>
      </c>
      <c r="C29" s="68" t="s">
        <v>64</v>
      </c>
      <c r="D29" s="68" t="s">
        <v>69</v>
      </c>
      <c r="E29" s="67">
        <v>27</v>
      </c>
      <c r="F29" s="67">
        <v>8</v>
      </c>
      <c r="G29" s="69">
        <v>45567</v>
      </c>
    </row>
    <row r="30" spans="1:7" ht="15.75" x14ac:dyDescent="0.25">
      <c r="A30" s="67">
        <v>1029</v>
      </c>
      <c r="B30" s="68" t="s">
        <v>104</v>
      </c>
      <c r="C30" s="68" t="s">
        <v>55</v>
      </c>
      <c r="D30" s="68" t="s">
        <v>56</v>
      </c>
      <c r="E30" s="67">
        <v>13</v>
      </c>
      <c r="F30" s="67">
        <v>50</v>
      </c>
      <c r="G30" s="69">
        <v>45628</v>
      </c>
    </row>
    <row r="31" spans="1:7" ht="15.75" x14ac:dyDescent="0.25">
      <c r="A31" s="67">
        <v>1030</v>
      </c>
      <c r="B31" s="68" t="s">
        <v>105</v>
      </c>
      <c r="C31" s="68" t="s">
        <v>58</v>
      </c>
      <c r="D31" s="68" t="s">
        <v>59</v>
      </c>
      <c r="E31" s="67">
        <v>32</v>
      </c>
      <c r="F31" s="67">
        <v>10</v>
      </c>
      <c r="G31" s="67" t="s">
        <v>106</v>
      </c>
    </row>
    <row r="32" spans="1:7" ht="15.75" x14ac:dyDescent="0.25">
      <c r="A32" s="67">
        <v>1031</v>
      </c>
      <c r="B32" s="68" t="s">
        <v>107</v>
      </c>
      <c r="C32" s="68" t="s">
        <v>61</v>
      </c>
      <c r="D32" s="68" t="s">
        <v>62</v>
      </c>
      <c r="E32" s="67">
        <v>10</v>
      </c>
      <c r="F32" s="67">
        <v>25</v>
      </c>
      <c r="G32" s="67" t="s">
        <v>108</v>
      </c>
    </row>
    <row r="33" spans="1:7" ht="15.75" x14ac:dyDescent="0.25">
      <c r="A33" s="67">
        <v>1032</v>
      </c>
      <c r="B33" s="68" t="s">
        <v>109</v>
      </c>
      <c r="C33" s="68" t="s">
        <v>64</v>
      </c>
      <c r="D33" s="68" t="s">
        <v>66</v>
      </c>
      <c r="E33" s="67">
        <v>18</v>
      </c>
      <c r="F33" s="67">
        <v>5</v>
      </c>
      <c r="G33" s="67" t="s">
        <v>110</v>
      </c>
    </row>
    <row r="34" spans="1:7" ht="15.75" x14ac:dyDescent="0.25">
      <c r="A34" s="67">
        <v>1033</v>
      </c>
      <c r="B34" s="68" t="s">
        <v>111</v>
      </c>
      <c r="C34" s="68" t="s">
        <v>55</v>
      </c>
      <c r="D34" s="68" t="s">
        <v>69</v>
      </c>
      <c r="E34" s="67">
        <v>22</v>
      </c>
      <c r="F34" s="67">
        <v>8</v>
      </c>
      <c r="G34" s="67" t="s">
        <v>112</v>
      </c>
    </row>
    <row r="35" spans="1:7" ht="15.75" x14ac:dyDescent="0.25">
      <c r="A35" s="67">
        <v>1034</v>
      </c>
      <c r="B35" s="68" t="s">
        <v>113</v>
      </c>
      <c r="C35" s="68" t="s">
        <v>58</v>
      </c>
      <c r="D35" s="68" t="s">
        <v>56</v>
      </c>
      <c r="E35" s="67">
        <v>17</v>
      </c>
      <c r="F35" s="67">
        <v>50</v>
      </c>
      <c r="G35" s="67" t="s">
        <v>114</v>
      </c>
    </row>
    <row r="36" spans="1:7" ht="15.75" x14ac:dyDescent="0.25">
      <c r="A36" s="67">
        <v>1035</v>
      </c>
      <c r="B36" s="68" t="s">
        <v>115</v>
      </c>
      <c r="C36" s="68" t="s">
        <v>61</v>
      </c>
      <c r="D36" s="68" t="s">
        <v>59</v>
      </c>
      <c r="E36" s="67">
        <v>19</v>
      </c>
      <c r="F36" s="67">
        <v>10</v>
      </c>
      <c r="G36" s="67" t="s">
        <v>116</v>
      </c>
    </row>
    <row r="37" spans="1:7" ht="15.75" x14ac:dyDescent="0.25">
      <c r="A37" s="67">
        <v>1036</v>
      </c>
      <c r="B37" s="68" t="s">
        <v>117</v>
      </c>
      <c r="C37" s="68" t="s">
        <v>64</v>
      </c>
      <c r="D37" s="68" t="s">
        <v>62</v>
      </c>
      <c r="E37" s="67">
        <v>15</v>
      </c>
      <c r="F37" s="67">
        <v>25</v>
      </c>
      <c r="G37" s="67" t="s">
        <v>118</v>
      </c>
    </row>
    <row r="38" spans="1:7" ht="15.75" x14ac:dyDescent="0.25">
      <c r="A38" s="67">
        <v>1037</v>
      </c>
      <c r="B38" s="68" t="s">
        <v>119</v>
      </c>
      <c r="C38" s="68" t="s">
        <v>55</v>
      </c>
      <c r="D38" s="68" t="s">
        <v>66</v>
      </c>
      <c r="E38" s="67">
        <v>28</v>
      </c>
      <c r="F38" s="67">
        <v>5</v>
      </c>
      <c r="G38" s="67" t="s">
        <v>120</v>
      </c>
    </row>
    <row r="39" spans="1:7" ht="15.75" x14ac:dyDescent="0.25">
      <c r="A39" s="67">
        <v>1038</v>
      </c>
      <c r="B39" s="68" t="s">
        <v>121</v>
      </c>
      <c r="C39" s="68" t="s">
        <v>58</v>
      </c>
      <c r="D39" s="68" t="s">
        <v>69</v>
      </c>
      <c r="E39" s="67">
        <v>24</v>
      </c>
      <c r="F39" s="67">
        <v>8</v>
      </c>
      <c r="G39" s="67" t="s">
        <v>122</v>
      </c>
    </row>
    <row r="40" spans="1:7" ht="15.75" x14ac:dyDescent="0.25">
      <c r="A40" s="67">
        <v>1039</v>
      </c>
      <c r="B40" s="68" t="s">
        <v>123</v>
      </c>
      <c r="C40" s="68" t="s">
        <v>61</v>
      </c>
      <c r="D40" s="68" t="s">
        <v>56</v>
      </c>
      <c r="E40" s="67">
        <v>16</v>
      </c>
      <c r="F40" s="67">
        <v>50</v>
      </c>
      <c r="G40" s="67" t="s">
        <v>124</v>
      </c>
    </row>
    <row r="41" spans="1:7" ht="15.75" x14ac:dyDescent="0.25">
      <c r="A41" s="67">
        <v>1040</v>
      </c>
      <c r="B41" s="68" t="s">
        <v>125</v>
      </c>
      <c r="C41" s="68" t="s">
        <v>64</v>
      </c>
      <c r="D41" s="68" t="s">
        <v>59</v>
      </c>
      <c r="E41" s="67">
        <v>27</v>
      </c>
      <c r="F41" s="67">
        <v>10</v>
      </c>
      <c r="G41" s="67" t="s">
        <v>126</v>
      </c>
    </row>
    <row r="42" spans="1:7" ht="15.75" x14ac:dyDescent="0.25">
      <c r="A42" s="67">
        <v>1041</v>
      </c>
      <c r="B42" s="68" t="s">
        <v>127</v>
      </c>
      <c r="C42" s="68" t="s">
        <v>55</v>
      </c>
      <c r="D42" s="68" t="s">
        <v>62</v>
      </c>
      <c r="E42" s="67">
        <v>21</v>
      </c>
      <c r="F42" s="67">
        <v>25</v>
      </c>
      <c r="G42" s="67" t="s">
        <v>128</v>
      </c>
    </row>
    <row r="43" spans="1:7" ht="15.75" x14ac:dyDescent="0.25">
      <c r="A43" s="67">
        <v>1042</v>
      </c>
      <c r="B43" s="68" t="s">
        <v>129</v>
      </c>
      <c r="C43" s="68" t="s">
        <v>58</v>
      </c>
      <c r="D43" s="68" t="s">
        <v>66</v>
      </c>
      <c r="E43" s="67">
        <v>30</v>
      </c>
      <c r="F43" s="67">
        <v>5</v>
      </c>
      <c r="G43" s="67" t="s">
        <v>130</v>
      </c>
    </row>
    <row r="44" spans="1:7" ht="15.75" x14ac:dyDescent="0.25">
      <c r="A44" s="67">
        <v>1043</v>
      </c>
      <c r="B44" s="68" t="s">
        <v>131</v>
      </c>
      <c r="C44" s="68" t="s">
        <v>61</v>
      </c>
      <c r="D44" s="68" t="s">
        <v>69</v>
      </c>
      <c r="E44" s="67">
        <v>26</v>
      </c>
      <c r="F44" s="67">
        <v>8</v>
      </c>
      <c r="G44" s="69">
        <v>45294</v>
      </c>
    </row>
    <row r="45" spans="1:7" ht="15.75" x14ac:dyDescent="0.25">
      <c r="A45" s="67">
        <v>1044</v>
      </c>
      <c r="B45" s="68" t="s">
        <v>132</v>
      </c>
      <c r="C45" s="68" t="s">
        <v>64</v>
      </c>
      <c r="D45" s="68" t="s">
        <v>56</v>
      </c>
      <c r="E45" s="67">
        <v>14</v>
      </c>
      <c r="F45" s="67">
        <v>50</v>
      </c>
      <c r="G45" s="69">
        <v>45325</v>
      </c>
    </row>
    <row r="46" spans="1:7" ht="15.75" x14ac:dyDescent="0.25">
      <c r="A46" s="67">
        <v>1045</v>
      </c>
      <c r="B46" s="68" t="s">
        <v>133</v>
      </c>
      <c r="C46" s="68" t="s">
        <v>55</v>
      </c>
      <c r="D46" s="68" t="s">
        <v>59</v>
      </c>
      <c r="E46" s="67">
        <v>20</v>
      </c>
      <c r="F46" s="67">
        <v>10</v>
      </c>
      <c r="G46" s="69">
        <v>45354</v>
      </c>
    </row>
    <row r="47" spans="1:7" ht="15.75" x14ac:dyDescent="0.25">
      <c r="A47" s="67">
        <v>1046</v>
      </c>
      <c r="B47" s="68" t="s">
        <v>134</v>
      </c>
      <c r="C47" s="68" t="s">
        <v>58</v>
      </c>
      <c r="D47" s="68" t="s">
        <v>62</v>
      </c>
      <c r="E47" s="67">
        <v>17</v>
      </c>
      <c r="F47" s="67">
        <v>25</v>
      </c>
      <c r="G47" s="69">
        <v>45385</v>
      </c>
    </row>
    <row r="48" spans="1:7" ht="15.75" x14ac:dyDescent="0.25">
      <c r="A48" s="67">
        <v>1047</v>
      </c>
      <c r="B48" s="68" t="s">
        <v>135</v>
      </c>
      <c r="C48" s="68" t="s">
        <v>61</v>
      </c>
      <c r="D48" s="68" t="s">
        <v>66</v>
      </c>
      <c r="E48" s="67">
        <v>19</v>
      </c>
      <c r="F48" s="67">
        <v>5</v>
      </c>
      <c r="G48" s="69">
        <v>45415</v>
      </c>
    </row>
    <row r="49" spans="1:7" ht="15.75" x14ac:dyDescent="0.25">
      <c r="A49" s="67">
        <v>1048</v>
      </c>
      <c r="B49" s="68" t="s">
        <v>136</v>
      </c>
      <c r="C49" s="68" t="s">
        <v>64</v>
      </c>
      <c r="D49" s="68" t="s">
        <v>69</v>
      </c>
      <c r="E49" s="67">
        <v>32</v>
      </c>
      <c r="F49" s="67">
        <v>8</v>
      </c>
      <c r="G49" s="69">
        <v>45446</v>
      </c>
    </row>
    <row r="50" spans="1:7" ht="15.75" x14ac:dyDescent="0.25">
      <c r="A50" s="67">
        <v>1049</v>
      </c>
      <c r="B50" s="68" t="s">
        <v>137</v>
      </c>
      <c r="C50" s="68" t="s">
        <v>55</v>
      </c>
      <c r="D50" s="68" t="s">
        <v>56</v>
      </c>
      <c r="E50" s="67">
        <v>12</v>
      </c>
      <c r="F50" s="67">
        <v>50</v>
      </c>
      <c r="G50" s="69">
        <v>45476</v>
      </c>
    </row>
    <row r="51" spans="1:7" ht="15.75" x14ac:dyDescent="0.25">
      <c r="A51" s="67">
        <v>1050</v>
      </c>
      <c r="B51" s="68" t="s">
        <v>138</v>
      </c>
      <c r="C51" s="68" t="s">
        <v>58</v>
      </c>
      <c r="D51" s="68" t="s">
        <v>59</v>
      </c>
      <c r="E51" s="67">
        <v>25</v>
      </c>
      <c r="F51" s="67">
        <v>10</v>
      </c>
      <c r="G51" s="69">
        <v>45507</v>
      </c>
    </row>
    <row r="53" spans="1:7" ht="21" x14ac:dyDescent="0.25">
      <c r="A53" s="116" t="s">
        <v>139</v>
      </c>
      <c r="B53" s="116"/>
      <c r="C53" s="116"/>
      <c r="D53" s="116"/>
      <c r="E53" s="116"/>
      <c r="F53" s="116"/>
      <c r="G53" s="116"/>
    </row>
    <row r="55" spans="1:7" ht="21" customHeight="1" x14ac:dyDescent="0.35">
      <c r="A55" s="117" t="s">
        <v>140</v>
      </c>
      <c r="B55" s="117"/>
      <c r="C55" s="117"/>
      <c r="D55" s="117"/>
      <c r="E55" s="117"/>
      <c r="F55" s="41">
        <f>COUNTA(B2:B51)</f>
        <v>50</v>
      </c>
    </row>
  </sheetData>
  <mergeCells count="2">
    <mergeCell ref="A53:G53"/>
    <mergeCell ref="A55:E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43" workbookViewId="0">
      <selection activeCell="G56" sqref="G56"/>
    </sheetView>
  </sheetViews>
  <sheetFormatPr defaultColWidth="9.28515625" defaultRowHeight="15" x14ac:dyDescent="0.25"/>
  <cols>
    <col min="1" max="1" width="10.42578125" bestFit="1" customWidth="1"/>
    <col min="2" max="2" width="19.28515625" bestFit="1" customWidth="1"/>
    <col min="3" max="3" width="9.140625" bestFit="1" customWidth="1"/>
    <col min="4" max="4" width="12.140625" bestFit="1" customWidth="1"/>
    <col min="5" max="5" width="11.28515625" bestFit="1" customWidth="1"/>
    <col min="6" max="6" width="11.85546875" bestFit="1" customWidth="1"/>
    <col min="7" max="7" width="14.140625" bestFit="1" customWidth="1"/>
    <col min="8" max="8" width="14.5703125" bestFit="1" customWidth="1"/>
  </cols>
  <sheetData>
    <row r="1" spans="1:8" ht="23.25" x14ac:dyDescent="0.25">
      <c r="A1" s="118" t="s">
        <v>141</v>
      </c>
      <c r="B1" s="118"/>
      <c r="C1" s="118"/>
      <c r="D1" s="118"/>
      <c r="E1" s="118"/>
      <c r="F1" s="118"/>
      <c r="G1" s="118"/>
      <c r="H1" s="118"/>
    </row>
    <row r="2" spans="1:8" ht="18.75" x14ac:dyDescent="0.3">
      <c r="A2" s="70" t="s">
        <v>47</v>
      </c>
      <c r="B2" s="70" t="s">
        <v>48</v>
      </c>
      <c r="C2" s="70" t="s">
        <v>49</v>
      </c>
      <c r="D2" s="70" t="s">
        <v>50</v>
      </c>
      <c r="E2" s="70" t="s">
        <v>51</v>
      </c>
      <c r="F2" s="70" t="s">
        <v>52</v>
      </c>
      <c r="G2" s="70" t="s">
        <v>142</v>
      </c>
      <c r="H2" s="70" t="s">
        <v>53</v>
      </c>
    </row>
    <row r="3" spans="1:8" ht="18.75" x14ac:dyDescent="0.3">
      <c r="A3" s="71">
        <v>1001</v>
      </c>
      <c r="B3" s="72" t="s">
        <v>54</v>
      </c>
      <c r="C3" s="72" t="s">
        <v>55</v>
      </c>
      <c r="D3" s="72" t="s">
        <v>56</v>
      </c>
      <c r="E3" s="71">
        <v>10</v>
      </c>
      <c r="F3" s="71">
        <v>50</v>
      </c>
      <c r="G3" s="71">
        <f>E3*F3</f>
        <v>500</v>
      </c>
      <c r="H3" s="73">
        <v>45413</v>
      </c>
    </row>
    <row r="4" spans="1:8" ht="18.75" x14ac:dyDescent="0.3">
      <c r="A4" s="71">
        <v>1002</v>
      </c>
      <c r="B4" s="72" t="s">
        <v>57</v>
      </c>
      <c r="C4" s="72" t="s">
        <v>58</v>
      </c>
      <c r="D4" s="72" t="s">
        <v>59</v>
      </c>
      <c r="E4" s="71">
        <v>20</v>
      </c>
      <c r="F4" s="71">
        <v>10</v>
      </c>
      <c r="G4" s="71">
        <f t="shared" ref="G4:G52" si="0">E4*F4</f>
        <v>200</v>
      </c>
      <c r="H4" s="73">
        <v>45444</v>
      </c>
    </row>
    <row r="5" spans="1:8" ht="18.75" x14ac:dyDescent="0.3">
      <c r="A5" s="71">
        <v>1003</v>
      </c>
      <c r="B5" s="72" t="s">
        <v>60</v>
      </c>
      <c r="C5" s="72" t="s">
        <v>61</v>
      </c>
      <c r="D5" s="72" t="s">
        <v>62</v>
      </c>
      <c r="E5" s="71">
        <v>15</v>
      </c>
      <c r="F5" s="71">
        <v>25</v>
      </c>
      <c r="G5" s="71">
        <f t="shared" si="0"/>
        <v>375</v>
      </c>
      <c r="H5" s="73">
        <v>45474</v>
      </c>
    </row>
    <row r="6" spans="1:8" ht="18.75" x14ac:dyDescent="0.3">
      <c r="A6" s="71">
        <v>1004</v>
      </c>
      <c r="B6" s="72" t="s">
        <v>63</v>
      </c>
      <c r="C6" s="72" t="s">
        <v>64</v>
      </c>
      <c r="D6" s="72" t="s">
        <v>56</v>
      </c>
      <c r="E6" s="71">
        <v>5</v>
      </c>
      <c r="F6" s="71">
        <v>50</v>
      </c>
      <c r="G6" s="71">
        <f t="shared" si="0"/>
        <v>250</v>
      </c>
      <c r="H6" s="73">
        <v>45505</v>
      </c>
    </row>
    <row r="7" spans="1:8" ht="18.75" x14ac:dyDescent="0.3">
      <c r="A7" s="71">
        <v>1005</v>
      </c>
      <c r="B7" s="72" t="s">
        <v>65</v>
      </c>
      <c r="C7" s="72" t="s">
        <v>55</v>
      </c>
      <c r="D7" s="72" t="s">
        <v>66</v>
      </c>
      <c r="E7" s="71">
        <v>30</v>
      </c>
      <c r="F7" s="71">
        <v>5</v>
      </c>
      <c r="G7" s="71">
        <f t="shared" si="0"/>
        <v>150</v>
      </c>
      <c r="H7" s="73">
        <v>45566</v>
      </c>
    </row>
    <row r="8" spans="1:8" ht="18.75" x14ac:dyDescent="0.3">
      <c r="A8" s="71">
        <v>1006</v>
      </c>
      <c r="B8" s="72" t="s">
        <v>67</v>
      </c>
      <c r="C8" s="72" t="s">
        <v>58</v>
      </c>
      <c r="D8" s="72" t="s">
        <v>56</v>
      </c>
      <c r="E8" s="71">
        <v>12</v>
      </c>
      <c r="F8" s="71">
        <v>50</v>
      </c>
      <c r="G8" s="71">
        <f t="shared" si="0"/>
        <v>600</v>
      </c>
      <c r="H8" s="73">
        <v>45597</v>
      </c>
    </row>
    <row r="9" spans="1:8" ht="18.75" x14ac:dyDescent="0.3">
      <c r="A9" s="71">
        <v>1007</v>
      </c>
      <c r="B9" s="72" t="s">
        <v>68</v>
      </c>
      <c r="C9" s="72" t="s">
        <v>61</v>
      </c>
      <c r="D9" s="72" t="s">
        <v>69</v>
      </c>
      <c r="E9" s="71">
        <v>25</v>
      </c>
      <c r="F9" s="71">
        <v>8</v>
      </c>
      <c r="G9" s="71">
        <f t="shared" si="0"/>
        <v>200</v>
      </c>
      <c r="H9" s="71" t="s">
        <v>70</v>
      </c>
    </row>
    <row r="10" spans="1:8" ht="18.75" x14ac:dyDescent="0.3">
      <c r="A10" s="71">
        <v>1008</v>
      </c>
      <c r="B10" s="72" t="s">
        <v>71</v>
      </c>
      <c r="C10" s="72" t="s">
        <v>64</v>
      </c>
      <c r="D10" s="72" t="s">
        <v>59</v>
      </c>
      <c r="E10" s="71">
        <v>18</v>
      </c>
      <c r="F10" s="71">
        <v>10</v>
      </c>
      <c r="G10" s="71">
        <f t="shared" si="0"/>
        <v>180</v>
      </c>
      <c r="H10" s="71" t="s">
        <v>72</v>
      </c>
    </row>
    <row r="11" spans="1:8" ht="18.75" x14ac:dyDescent="0.3">
      <c r="A11" s="71">
        <v>1009</v>
      </c>
      <c r="B11" s="72" t="s">
        <v>73</v>
      </c>
      <c r="C11" s="72" t="s">
        <v>55</v>
      </c>
      <c r="D11" s="72" t="s">
        <v>62</v>
      </c>
      <c r="E11" s="71">
        <v>22</v>
      </c>
      <c r="F11" s="71">
        <v>25</v>
      </c>
      <c r="G11" s="71">
        <f t="shared" si="0"/>
        <v>550</v>
      </c>
      <c r="H11" s="71" t="s">
        <v>74</v>
      </c>
    </row>
    <row r="12" spans="1:8" ht="18.75" x14ac:dyDescent="0.3">
      <c r="A12" s="71">
        <v>1010</v>
      </c>
      <c r="B12" s="72" t="s">
        <v>75</v>
      </c>
      <c r="C12" s="72" t="s">
        <v>58</v>
      </c>
      <c r="D12" s="72" t="s">
        <v>56</v>
      </c>
      <c r="E12" s="71">
        <v>8</v>
      </c>
      <c r="F12" s="71">
        <v>50</v>
      </c>
      <c r="G12" s="71">
        <f t="shared" si="0"/>
        <v>400</v>
      </c>
      <c r="H12" s="71" t="s">
        <v>76</v>
      </c>
    </row>
    <row r="13" spans="1:8" ht="18.75" x14ac:dyDescent="0.3">
      <c r="A13" s="71">
        <v>1011</v>
      </c>
      <c r="B13" s="72" t="s">
        <v>77</v>
      </c>
      <c r="C13" s="72" t="s">
        <v>61</v>
      </c>
      <c r="D13" s="72" t="s">
        <v>66</v>
      </c>
      <c r="E13" s="71">
        <v>40</v>
      </c>
      <c r="F13" s="71">
        <v>5</v>
      </c>
      <c r="G13" s="71">
        <f t="shared" si="0"/>
        <v>200</v>
      </c>
      <c r="H13" s="71" t="s">
        <v>78</v>
      </c>
    </row>
    <row r="14" spans="1:8" ht="18.75" x14ac:dyDescent="0.3">
      <c r="A14" s="71">
        <v>1012</v>
      </c>
      <c r="B14" s="72" t="s">
        <v>79</v>
      </c>
      <c r="C14" s="72" t="s">
        <v>64</v>
      </c>
      <c r="D14" s="72" t="s">
        <v>69</v>
      </c>
      <c r="E14" s="71">
        <v>35</v>
      </c>
      <c r="F14" s="71">
        <v>8</v>
      </c>
      <c r="G14" s="71">
        <f t="shared" si="0"/>
        <v>280</v>
      </c>
      <c r="H14" s="71" t="s">
        <v>80</v>
      </c>
    </row>
    <row r="15" spans="1:8" ht="18.75" x14ac:dyDescent="0.3">
      <c r="A15" s="71">
        <v>1013</v>
      </c>
      <c r="B15" s="72" t="s">
        <v>81</v>
      </c>
      <c r="C15" s="72" t="s">
        <v>55</v>
      </c>
      <c r="D15" s="72" t="s">
        <v>56</v>
      </c>
      <c r="E15" s="71">
        <v>14</v>
      </c>
      <c r="F15" s="71">
        <v>50</v>
      </c>
      <c r="G15" s="71">
        <f t="shared" si="0"/>
        <v>700</v>
      </c>
      <c r="H15" s="71" t="s">
        <v>82</v>
      </c>
    </row>
    <row r="16" spans="1:8" ht="18.75" x14ac:dyDescent="0.3">
      <c r="A16" s="71">
        <v>1014</v>
      </c>
      <c r="B16" s="72" t="s">
        <v>83</v>
      </c>
      <c r="C16" s="72" t="s">
        <v>58</v>
      </c>
      <c r="D16" s="72" t="s">
        <v>59</v>
      </c>
      <c r="E16" s="71">
        <v>28</v>
      </c>
      <c r="F16" s="71">
        <v>10</v>
      </c>
      <c r="G16" s="71">
        <f t="shared" si="0"/>
        <v>280</v>
      </c>
      <c r="H16" s="71" t="s">
        <v>84</v>
      </c>
    </row>
    <row r="17" spans="1:8" ht="18.75" x14ac:dyDescent="0.3">
      <c r="A17" s="71">
        <v>1015</v>
      </c>
      <c r="B17" s="72" t="s">
        <v>85</v>
      </c>
      <c r="C17" s="72" t="s">
        <v>61</v>
      </c>
      <c r="D17" s="72" t="s">
        <v>62</v>
      </c>
      <c r="E17" s="71">
        <v>12</v>
      </c>
      <c r="F17" s="71">
        <v>25</v>
      </c>
      <c r="G17" s="71">
        <f t="shared" si="0"/>
        <v>300</v>
      </c>
      <c r="H17" s="71" t="s">
        <v>86</v>
      </c>
    </row>
    <row r="18" spans="1:8" ht="18.75" x14ac:dyDescent="0.3">
      <c r="A18" s="71">
        <v>1016</v>
      </c>
      <c r="B18" s="72" t="s">
        <v>87</v>
      </c>
      <c r="C18" s="72" t="s">
        <v>64</v>
      </c>
      <c r="D18" s="72" t="s">
        <v>66</v>
      </c>
      <c r="E18" s="71">
        <v>25</v>
      </c>
      <c r="F18" s="71">
        <v>5</v>
      </c>
      <c r="G18" s="71">
        <f t="shared" si="0"/>
        <v>125</v>
      </c>
      <c r="H18" s="71" t="s">
        <v>88</v>
      </c>
    </row>
    <row r="19" spans="1:8" ht="18.75" x14ac:dyDescent="0.3">
      <c r="A19" s="71">
        <v>1017</v>
      </c>
      <c r="B19" s="72" t="s">
        <v>89</v>
      </c>
      <c r="C19" s="72" t="s">
        <v>55</v>
      </c>
      <c r="D19" s="72" t="s">
        <v>69</v>
      </c>
      <c r="E19" s="71">
        <v>20</v>
      </c>
      <c r="F19" s="71">
        <v>8</v>
      </c>
      <c r="G19" s="71">
        <f t="shared" si="0"/>
        <v>160</v>
      </c>
      <c r="H19" s="71" t="s">
        <v>90</v>
      </c>
    </row>
    <row r="20" spans="1:8" ht="18.75" x14ac:dyDescent="0.3">
      <c r="A20" s="71">
        <v>1018</v>
      </c>
      <c r="B20" s="72" t="s">
        <v>91</v>
      </c>
      <c r="C20" s="72" t="s">
        <v>58</v>
      </c>
      <c r="D20" s="72" t="s">
        <v>56</v>
      </c>
      <c r="E20" s="71">
        <v>10</v>
      </c>
      <c r="F20" s="71">
        <v>50</v>
      </c>
      <c r="G20" s="71">
        <f t="shared" si="0"/>
        <v>500</v>
      </c>
      <c r="H20" s="71" t="s">
        <v>92</v>
      </c>
    </row>
    <row r="21" spans="1:8" ht="18.75" x14ac:dyDescent="0.3">
      <c r="A21" s="71">
        <v>1019</v>
      </c>
      <c r="B21" s="72" t="s">
        <v>93</v>
      </c>
      <c r="C21" s="72" t="s">
        <v>61</v>
      </c>
      <c r="D21" s="72" t="s">
        <v>59</v>
      </c>
      <c r="E21" s="71">
        <v>15</v>
      </c>
      <c r="F21" s="71">
        <v>10</v>
      </c>
      <c r="G21" s="71">
        <f t="shared" si="0"/>
        <v>150</v>
      </c>
      <c r="H21" s="71" t="s">
        <v>94</v>
      </c>
    </row>
    <row r="22" spans="1:8" ht="18.75" x14ac:dyDescent="0.3">
      <c r="A22" s="71">
        <v>1020</v>
      </c>
      <c r="B22" s="72" t="s">
        <v>95</v>
      </c>
      <c r="C22" s="72" t="s">
        <v>64</v>
      </c>
      <c r="D22" s="72" t="s">
        <v>62</v>
      </c>
      <c r="E22" s="71">
        <v>18</v>
      </c>
      <c r="F22" s="71">
        <v>25</v>
      </c>
      <c r="G22" s="71">
        <f t="shared" si="0"/>
        <v>450</v>
      </c>
      <c r="H22" s="73">
        <v>45293</v>
      </c>
    </row>
    <row r="23" spans="1:8" ht="18.75" x14ac:dyDescent="0.3">
      <c r="A23" s="71">
        <v>1021</v>
      </c>
      <c r="B23" s="72" t="s">
        <v>96</v>
      </c>
      <c r="C23" s="72" t="s">
        <v>55</v>
      </c>
      <c r="D23" s="72" t="s">
        <v>56</v>
      </c>
      <c r="E23" s="71">
        <v>9</v>
      </c>
      <c r="F23" s="71">
        <v>50</v>
      </c>
      <c r="G23" s="71">
        <f t="shared" si="0"/>
        <v>450</v>
      </c>
      <c r="H23" s="73">
        <v>45324</v>
      </c>
    </row>
    <row r="24" spans="1:8" ht="18.75" x14ac:dyDescent="0.3">
      <c r="A24" s="71">
        <v>1022</v>
      </c>
      <c r="B24" s="72" t="s">
        <v>97</v>
      </c>
      <c r="C24" s="72" t="s">
        <v>58</v>
      </c>
      <c r="D24" s="72" t="s">
        <v>66</v>
      </c>
      <c r="E24" s="71">
        <v>35</v>
      </c>
      <c r="F24" s="71">
        <v>5</v>
      </c>
      <c r="G24" s="71">
        <f t="shared" si="0"/>
        <v>175</v>
      </c>
      <c r="H24" s="73">
        <v>45353</v>
      </c>
    </row>
    <row r="25" spans="1:8" ht="18.75" x14ac:dyDescent="0.3">
      <c r="A25" s="71">
        <v>1023</v>
      </c>
      <c r="B25" s="72" t="s">
        <v>98</v>
      </c>
      <c r="C25" s="72" t="s">
        <v>61</v>
      </c>
      <c r="D25" s="72" t="s">
        <v>69</v>
      </c>
      <c r="E25" s="71">
        <v>30</v>
      </c>
      <c r="F25" s="71">
        <v>8</v>
      </c>
      <c r="G25" s="71">
        <f t="shared" si="0"/>
        <v>240</v>
      </c>
      <c r="H25" s="73">
        <v>45384</v>
      </c>
    </row>
    <row r="26" spans="1:8" ht="18.75" x14ac:dyDescent="0.3">
      <c r="A26" s="71">
        <v>1024</v>
      </c>
      <c r="B26" s="72" t="s">
        <v>99</v>
      </c>
      <c r="C26" s="72" t="s">
        <v>64</v>
      </c>
      <c r="D26" s="72" t="s">
        <v>56</v>
      </c>
      <c r="E26" s="71">
        <v>11</v>
      </c>
      <c r="F26" s="71">
        <v>50</v>
      </c>
      <c r="G26" s="71">
        <f t="shared" si="0"/>
        <v>550</v>
      </c>
      <c r="H26" s="73">
        <v>45445</v>
      </c>
    </row>
    <row r="27" spans="1:8" ht="18.75" x14ac:dyDescent="0.3">
      <c r="A27" s="71">
        <v>1025</v>
      </c>
      <c r="B27" s="72" t="s">
        <v>100</v>
      </c>
      <c r="C27" s="72" t="s">
        <v>55</v>
      </c>
      <c r="D27" s="72" t="s">
        <v>59</v>
      </c>
      <c r="E27" s="71">
        <v>14</v>
      </c>
      <c r="F27" s="71">
        <v>10</v>
      </c>
      <c r="G27" s="71">
        <f t="shared" si="0"/>
        <v>140</v>
      </c>
      <c r="H27" s="73">
        <v>45475</v>
      </c>
    </row>
    <row r="28" spans="1:8" ht="18.75" x14ac:dyDescent="0.3">
      <c r="A28" s="71">
        <v>1026</v>
      </c>
      <c r="B28" s="72" t="s">
        <v>101</v>
      </c>
      <c r="C28" s="72" t="s">
        <v>58</v>
      </c>
      <c r="D28" s="72" t="s">
        <v>62</v>
      </c>
      <c r="E28" s="71">
        <v>16</v>
      </c>
      <c r="F28" s="71">
        <v>25</v>
      </c>
      <c r="G28" s="71">
        <f t="shared" si="0"/>
        <v>400</v>
      </c>
      <c r="H28" s="73">
        <v>45506</v>
      </c>
    </row>
    <row r="29" spans="1:8" ht="18.75" x14ac:dyDescent="0.3">
      <c r="A29" s="71">
        <v>1027</v>
      </c>
      <c r="B29" s="72" t="s">
        <v>102</v>
      </c>
      <c r="C29" s="72" t="s">
        <v>61</v>
      </c>
      <c r="D29" s="72" t="s">
        <v>66</v>
      </c>
      <c r="E29" s="71">
        <v>22</v>
      </c>
      <c r="F29" s="71">
        <v>5</v>
      </c>
      <c r="G29" s="71">
        <f t="shared" si="0"/>
        <v>110</v>
      </c>
      <c r="H29" s="73">
        <v>45537</v>
      </c>
    </row>
    <row r="30" spans="1:8" ht="18.75" x14ac:dyDescent="0.3">
      <c r="A30" s="71">
        <v>1028</v>
      </c>
      <c r="B30" s="72" t="s">
        <v>103</v>
      </c>
      <c r="C30" s="72" t="s">
        <v>64</v>
      </c>
      <c r="D30" s="72" t="s">
        <v>69</v>
      </c>
      <c r="E30" s="71">
        <v>27</v>
      </c>
      <c r="F30" s="71">
        <v>8</v>
      </c>
      <c r="G30" s="71">
        <f t="shared" si="0"/>
        <v>216</v>
      </c>
      <c r="H30" s="73">
        <v>45567</v>
      </c>
    </row>
    <row r="31" spans="1:8" ht="18.75" x14ac:dyDescent="0.3">
      <c r="A31" s="71">
        <v>1029</v>
      </c>
      <c r="B31" s="72" t="s">
        <v>104</v>
      </c>
      <c r="C31" s="72" t="s">
        <v>55</v>
      </c>
      <c r="D31" s="72" t="s">
        <v>56</v>
      </c>
      <c r="E31" s="71">
        <v>13</v>
      </c>
      <c r="F31" s="71">
        <v>50</v>
      </c>
      <c r="G31" s="71">
        <f t="shared" si="0"/>
        <v>650</v>
      </c>
      <c r="H31" s="73">
        <v>45628</v>
      </c>
    </row>
    <row r="32" spans="1:8" ht="18.75" x14ac:dyDescent="0.3">
      <c r="A32" s="71">
        <v>1030</v>
      </c>
      <c r="B32" s="72" t="s">
        <v>105</v>
      </c>
      <c r="C32" s="72" t="s">
        <v>58</v>
      </c>
      <c r="D32" s="72" t="s">
        <v>59</v>
      </c>
      <c r="E32" s="71">
        <v>32</v>
      </c>
      <c r="F32" s="71">
        <v>10</v>
      </c>
      <c r="G32" s="71">
        <f t="shared" si="0"/>
        <v>320</v>
      </c>
      <c r="H32" s="71" t="s">
        <v>106</v>
      </c>
    </row>
    <row r="33" spans="1:8" ht="18.75" x14ac:dyDescent="0.3">
      <c r="A33" s="71">
        <v>1031</v>
      </c>
      <c r="B33" s="72" t="s">
        <v>107</v>
      </c>
      <c r="C33" s="72" t="s">
        <v>61</v>
      </c>
      <c r="D33" s="72" t="s">
        <v>62</v>
      </c>
      <c r="E33" s="71">
        <v>10</v>
      </c>
      <c r="F33" s="71">
        <v>25</v>
      </c>
      <c r="G33" s="71">
        <f t="shared" si="0"/>
        <v>250</v>
      </c>
      <c r="H33" s="71" t="s">
        <v>108</v>
      </c>
    </row>
    <row r="34" spans="1:8" ht="18.75" x14ac:dyDescent="0.3">
      <c r="A34" s="71">
        <v>1032</v>
      </c>
      <c r="B34" s="72" t="s">
        <v>109</v>
      </c>
      <c r="C34" s="72" t="s">
        <v>64</v>
      </c>
      <c r="D34" s="72" t="s">
        <v>66</v>
      </c>
      <c r="E34" s="71">
        <v>18</v>
      </c>
      <c r="F34" s="71">
        <v>5</v>
      </c>
      <c r="G34" s="71">
        <f t="shared" si="0"/>
        <v>90</v>
      </c>
      <c r="H34" s="71" t="s">
        <v>110</v>
      </c>
    </row>
    <row r="35" spans="1:8" ht="18.75" x14ac:dyDescent="0.3">
      <c r="A35" s="71">
        <v>1033</v>
      </c>
      <c r="B35" s="72" t="s">
        <v>111</v>
      </c>
      <c r="C35" s="72" t="s">
        <v>55</v>
      </c>
      <c r="D35" s="72" t="s">
        <v>69</v>
      </c>
      <c r="E35" s="71">
        <v>22</v>
      </c>
      <c r="F35" s="71">
        <v>8</v>
      </c>
      <c r="G35" s="71">
        <f t="shared" si="0"/>
        <v>176</v>
      </c>
      <c r="H35" s="71" t="s">
        <v>112</v>
      </c>
    </row>
    <row r="36" spans="1:8" ht="18.75" x14ac:dyDescent="0.3">
      <c r="A36" s="71">
        <v>1034</v>
      </c>
      <c r="B36" s="72" t="s">
        <v>113</v>
      </c>
      <c r="C36" s="72" t="s">
        <v>58</v>
      </c>
      <c r="D36" s="72" t="s">
        <v>56</v>
      </c>
      <c r="E36" s="71">
        <v>17</v>
      </c>
      <c r="F36" s="71">
        <v>50</v>
      </c>
      <c r="G36" s="71">
        <f t="shared" si="0"/>
        <v>850</v>
      </c>
      <c r="H36" s="71" t="s">
        <v>114</v>
      </c>
    </row>
    <row r="37" spans="1:8" ht="18.75" x14ac:dyDescent="0.3">
      <c r="A37" s="71">
        <v>1035</v>
      </c>
      <c r="B37" s="72" t="s">
        <v>115</v>
      </c>
      <c r="C37" s="72" t="s">
        <v>61</v>
      </c>
      <c r="D37" s="72" t="s">
        <v>59</v>
      </c>
      <c r="E37" s="71">
        <v>19</v>
      </c>
      <c r="F37" s="71">
        <v>10</v>
      </c>
      <c r="G37" s="71">
        <f t="shared" si="0"/>
        <v>190</v>
      </c>
      <c r="H37" s="71" t="s">
        <v>116</v>
      </c>
    </row>
    <row r="38" spans="1:8" ht="18.75" x14ac:dyDescent="0.3">
      <c r="A38" s="71">
        <v>1036</v>
      </c>
      <c r="B38" s="72" t="s">
        <v>117</v>
      </c>
      <c r="C38" s="72" t="s">
        <v>64</v>
      </c>
      <c r="D38" s="72" t="s">
        <v>62</v>
      </c>
      <c r="E38" s="71">
        <v>15</v>
      </c>
      <c r="F38" s="71">
        <v>25</v>
      </c>
      <c r="G38" s="71">
        <f t="shared" si="0"/>
        <v>375</v>
      </c>
      <c r="H38" s="71" t="s">
        <v>118</v>
      </c>
    </row>
    <row r="39" spans="1:8" ht="18.75" x14ac:dyDescent="0.3">
      <c r="A39" s="71">
        <v>1037</v>
      </c>
      <c r="B39" s="72" t="s">
        <v>119</v>
      </c>
      <c r="C39" s="72" t="s">
        <v>55</v>
      </c>
      <c r="D39" s="72" t="s">
        <v>66</v>
      </c>
      <c r="E39" s="71">
        <v>28</v>
      </c>
      <c r="F39" s="71">
        <v>5</v>
      </c>
      <c r="G39" s="71">
        <f t="shared" si="0"/>
        <v>140</v>
      </c>
      <c r="H39" s="71" t="s">
        <v>120</v>
      </c>
    </row>
    <row r="40" spans="1:8" ht="18.75" x14ac:dyDescent="0.3">
      <c r="A40" s="71">
        <v>1038</v>
      </c>
      <c r="B40" s="72" t="s">
        <v>121</v>
      </c>
      <c r="C40" s="72" t="s">
        <v>58</v>
      </c>
      <c r="D40" s="72" t="s">
        <v>69</v>
      </c>
      <c r="E40" s="71">
        <v>24</v>
      </c>
      <c r="F40" s="71">
        <v>8</v>
      </c>
      <c r="G40" s="71">
        <f t="shared" si="0"/>
        <v>192</v>
      </c>
      <c r="H40" s="71" t="s">
        <v>122</v>
      </c>
    </row>
    <row r="41" spans="1:8" ht="18.75" x14ac:dyDescent="0.3">
      <c r="A41" s="71">
        <v>1039</v>
      </c>
      <c r="B41" s="72" t="s">
        <v>123</v>
      </c>
      <c r="C41" s="72" t="s">
        <v>61</v>
      </c>
      <c r="D41" s="72" t="s">
        <v>56</v>
      </c>
      <c r="E41" s="71">
        <v>16</v>
      </c>
      <c r="F41" s="71">
        <v>50</v>
      </c>
      <c r="G41" s="71">
        <f t="shared" si="0"/>
        <v>800</v>
      </c>
      <c r="H41" s="71" t="s">
        <v>124</v>
      </c>
    </row>
    <row r="42" spans="1:8" ht="18.75" x14ac:dyDescent="0.3">
      <c r="A42" s="71">
        <v>1040</v>
      </c>
      <c r="B42" s="72" t="s">
        <v>125</v>
      </c>
      <c r="C42" s="72" t="s">
        <v>64</v>
      </c>
      <c r="D42" s="72" t="s">
        <v>59</v>
      </c>
      <c r="E42" s="71">
        <v>27</v>
      </c>
      <c r="F42" s="71">
        <v>10</v>
      </c>
      <c r="G42" s="71">
        <f t="shared" si="0"/>
        <v>270</v>
      </c>
      <c r="H42" s="71" t="s">
        <v>126</v>
      </c>
    </row>
    <row r="43" spans="1:8" ht="18.75" x14ac:dyDescent="0.3">
      <c r="A43" s="71">
        <v>1041</v>
      </c>
      <c r="B43" s="72" t="s">
        <v>127</v>
      </c>
      <c r="C43" s="72" t="s">
        <v>55</v>
      </c>
      <c r="D43" s="72" t="s">
        <v>62</v>
      </c>
      <c r="E43" s="71">
        <v>21</v>
      </c>
      <c r="F43" s="71">
        <v>25</v>
      </c>
      <c r="G43" s="71">
        <f t="shared" si="0"/>
        <v>525</v>
      </c>
      <c r="H43" s="71" t="s">
        <v>128</v>
      </c>
    </row>
    <row r="44" spans="1:8" ht="18.75" x14ac:dyDescent="0.3">
      <c r="A44" s="71">
        <v>1042</v>
      </c>
      <c r="B44" s="72" t="s">
        <v>129</v>
      </c>
      <c r="C44" s="72" t="s">
        <v>58</v>
      </c>
      <c r="D44" s="72" t="s">
        <v>66</v>
      </c>
      <c r="E44" s="71">
        <v>30</v>
      </c>
      <c r="F44" s="71">
        <v>5</v>
      </c>
      <c r="G44" s="71">
        <f t="shared" si="0"/>
        <v>150</v>
      </c>
      <c r="H44" s="71" t="s">
        <v>130</v>
      </c>
    </row>
    <row r="45" spans="1:8" ht="18.75" x14ac:dyDescent="0.3">
      <c r="A45" s="71">
        <v>1043</v>
      </c>
      <c r="B45" s="72" t="s">
        <v>131</v>
      </c>
      <c r="C45" s="72" t="s">
        <v>61</v>
      </c>
      <c r="D45" s="72" t="s">
        <v>69</v>
      </c>
      <c r="E45" s="71">
        <v>26</v>
      </c>
      <c r="F45" s="71">
        <v>8</v>
      </c>
      <c r="G45" s="71">
        <f t="shared" si="0"/>
        <v>208</v>
      </c>
      <c r="H45" s="73">
        <v>45294</v>
      </c>
    </row>
    <row r="46" spans="1:8" ht="18.75" x14ac:dyDescent="0.3">
      <c r="A46" s="71">
        <v>1044</v>
      </c>
      <c r="B46" s="72" t="s">
        <v>132</v>
      </c>
      <c r="C46" s="72" t="s">
        <v>64</v>
      </c>
      <c r="D46" s="72" t="s">
        <v>56</v>
      </c>
      <c r="E46" s="71">
        <v>14</v>
      </c>
      <c r="F46" s="71">
        <v>50</v>
      </c>
      <c r="G46" s="71">
        <f t="shared" si="0"/>
        <v>700</v>
      </c>
      <c r="H46" s="73">
        <v>45325</v>
      </c>
    </row>
    <row r="47" spans="1:8" ht="18.75" x14ac:dyDescent="0.3">
      <c r="A47" s="71">
        <v>1045</v>
      </c>
      <c r="B47" s="72" t="s">
        <v>133</v>
      </c>
      <c r="C47" s="72" t="s">
        <v>55</v>
      </c>
      <c r="D47" s="72" t="s">
        <v>59</v>
      </c>
      <c r="E47" s="71">
        <v>20</v>
      </c>
      <c r="F47" s="71">
        <v>10</v>
      </c>
      <c r="G47" s="71">
        <f t="shared" si="0"/>
        <v>200</v>
      </c>
      <c r="H47" s="73">
        <v>45354</v>
      </c>
    </row>
    <row r="48" spans="1:8" ht="18.75" x14ac:dyDescent="0.3">
      <c r="A48" s="71">
        <v>1046</v>
      </c>
      <c r="B48" s="72" t="s">
        <v>134</v>
      </c>
      <c r="C48" s="72" t="s">
        <v>58</v>
      </c>
      <c r="D48" s="72" t="s">
        <v>62</v>
      </c>
      <c r="E48" s="71">
        <v>17</v>
      </c>
      <c r="F48" s="71">
        <v>25</v>
      </c>
      <c r="G48" s="71">
        <f t="shared" si="0"/>
        <v>425</v>
      </c>
      <c r="H48" s="73">
        <v>45385</v>
      </c>
    </row>
    <row r="49" spans="1:8" ht="18.75" x14ac:dyDescent="0.3">
      <c r="A49" s="71">
        <v>1047</v>
      </c>
      <c r="B49" s="72" t="s">
        <v>135</v>
      </c>
      <c r="C49" s="72" t="s">
        <v>61</v>
      </c>
      <c r="D49" s="72" t="s">
        <v>66</v>
      </c>
      <c r="E49" s="71">
        <v>19</v>
      </c>
      <c r="F49" s="71">
        <v>5</v>
      </c>
      <c r="G49" s="71">
        <f t="shared" si="0"/>
        <v>95</v>
      </c>
      <c r="H49" s="73">
        <v>45415</v>
      </c>
    </row>
    <row r="50" spans="1:8" ht="18.75" x14ac:dyDescent="0.3">
      <c r="A50" s="71">
        <v>1048</v>
      </c>
      <c r="B50" s="72" t="s">
        <v>136</v>
      </c>
      <c r="C50" s="72" t="s">
        <v>64</v>
      </c>
      <c r="D50" s="72" t="s">
        <v>69</v>
      </c>
      <c r="E50" s="71">
        <v>32</v>
      </c>
      <c r="F50" s="71">
        <v>8</v>
      </c>
      <c r="G50" s="71">
        <f t="shared" si="0"/>
        <v>256</v>
      </c>
      <c r="H50" s="73">
        <v>45446</v>
      </c>
    </row>
    <row r="51" spans="1:8" ht="18.75" x14ac:dyDescent="0.3">
      <c r="A51" s="71">
        <v>1049</v>
      </c>
      <c r="B51" s="72" t="s">
        <v>137</v>
      </c>
      <c r="C51" s="72" t="s">
        <v>55</v>
      </c>
      <c r="D51" s="72" t="s">
        <v>56</v>
      </c>
      <c r="E51" s="71">
        <v>12</v>
      </c>
      <c r="F51" s="71">
        <v>50</v>
      </c>
      <c r="G51" s="71">
        <f t="shared" si="0"/>
        <v>600</v>
      </c>
      <c r="H51" s="73">
        <v>45476</v>
      </c>
    </row>
    <row r="52" spans="1:8" ht="19.5" thickBot="1" x14ac:dyDescent="0.35">
      <c r="A52" s="71">
        <v>1050</v>
      </c>
      <c r="B52" s="142" t="s">
        <v>138</v>
      </c>
      <c r="C52" s="142" t="s">
        <v>58</v>
      </c>
      <c r="D52" s="142" t="s">
        <v>59</v>
      </c>
      <c r="E52" s="143">
        <v>25</v>
      </c>
      <c r="F52" s="143">
        <v>10</v>
      </c>
      <c r="G52" s="143">
        <f t="shared" si="0"/>
        <v>250</v>
      </c>
      <c r="H52" s="73">
        <v>45507</v>
      </c>
    </row>
    <row r="53" spans="1:8" ht="21.75" thickBot="1" x14ac:dyDescent="0.4">
      <c r="B53" s="144" t="s">
        <v>152</v>
      </c>
      <c r="C53" s="145"/>
      <c r="D53" s="145"/>
      <c r="E53" s="145"/>
      <c r="F53" s="146"/>
      <c r="G53" s="147">
        <f>SUM(G3:G52)</f>
        <v>16543</v>
      </c>
    </row>
  </sheetData>
  <mergeCells count="2">
    <mergeCell ref="A1:H1"/>
    <mergeCell ref="B53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31" workbookViewId="0">
      <selection activeCell="O21" sqref="O21"/>
    </sheetView>
  </sheetViews>
  <sheetFormatPr defaultRowHeight="15" x14ac:dyDescent="0.25"/>
  <cols>
    <col min="1" max="1" width="10.42578125" bestFit="1" customWidth="1"/>
    <col min="2" max="2" width="19.28515625" bestFit="1" customWidth="1"/>
    <col min="4" max="4" width="12.140625" bestFit="1" customWidth="1"/>
    <col min="5" max="5" width="11.28515625" bestFit="1" customWidth="1"/>
    <col min="6" max="6" width="11.85546875" bestFit="1" customWidth="1"/>
    <col min="7" max="7" width="14.140625" bestFit="1" customWidth="1"/>
    <col min="8" max="8" width="14.140625" customWidth="1"/>
    <col min="9" max="9" width="14.5703125" bestFit="1" customWidth="1"/>
  </cols>
  <sheetData>
    <row r="1" spans="1:10" ht="18.75" x14ac:dyDescent="0.3">
      <c r="A1" s="119" t="s">
        <v>143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18.75" x14ac:dyDescent="0.3">
      <c r="A2" s="70" t="s">
        <v>47</v>
      </c>
      <c r="B2" s="70" t="s">
        <v>48</v>
      </c>
      <c r="C2" s="70" t="s">
        <v>49</v>
      </c>
      <c r="D2" s="70" t="s">
        <v>50</v>
      </c>
      <c r="E2" s="70" t="s">
        <v>51</v>
      </c>
      <c r="F2" s="70" t="s">
        <v>52</v>
      </c>
      <c r="G2" s="70" t="s">
        <v>142</v>
      </c>
      <c r="H2" s="70" t="s">
        <v>144</v>
      </c>
      <c r="I2" s="70" t="s">
        <v>53</v>
      </c>
    </row>
    <row r="3" spans="1:10" ht="18.75" x14ac:dyDescent="0.3">
      <c r="A3" s="71">
        <v>1001</v>
      </c>
      <c r="B3" s="72" t="s">
        <v>54</v>
      </c>
      <c r="C3" s="72" t="s">
        <v>55</v>
      </c>
      <c r="D3" s="72" t="s">
        <v>56</v>
      </c>
      <c r="E3" s="71">
        <v>10</v>
      </c>
      <c r="F3" s="71">
        <v>50</v>
      </c>
      <c r="G3" s="71">
        <f>E3*F3</f>
        <v>500</v>
      </c>
      <c r="H3" s="71">
        <f>SUMIFS(G3:G3,D3:D3,"Notebook",C3:C3,"North")</f>
        <v>500</v>
      </c>
      <c r="I3" s="73">
        <v>45413</v>
      </c>
    </row>
    <row r="4" spans="1:10" ht="18.75" x14ac:dyDescent="0.3">
      <c r="A4" s="71">
        <v>1002</v>
      </c>
      <c r="B4" s="72" t="s">
        <v>57</v>
      </c>
      <c r="C4" s="72" t="s">
        <v>58</v>
      </c>
      <c r="D4" s="72" t="s">
        <v>59</v>
      </c>
      <c r="E4" s="71">
        <v>20</v>
      </c>
      <c r="F4" s="71">
        <v>10</v>
      </c>
      <c r="G4" s="71">
        <f t="shared" ref="G4:G52" si="0">E4*F4</f>
        <v>200</v>
      </c>
      <c r="H4" s="71">
        <f>SUMIFS(G4:G4,D4:D4,"Notebook",C4:C4,"North")</f>
        <v>0</v>
      </c>
      <c r="I4" s="73">
        <v>45444</v>
      </c>
    </row>
    <row r="5" spans="1:10" ht="18.75" x14ac:dyDescent="0.3">
      <c r="A5" s="71">
        <v>1003</v>
      </c>
      <c r="B5" s="72" t="s">
        <v>60</v>
      </c>
      <c r="C5" s="72" t="s">
        <v>61</v>
      </c>
      <c r="D5" s="72" t="s">
        <v>62</v>
      </c>
      <c r="E5" s="71">
        <v>15</v>
      </c>
      <c r="F5" s="71">
        <v>25</v>
      </c>
      <c r="G5" s="71">
        <f t="shared" si="0"/>
        <v>375</v>
      </c>
      <c r="H5" s="71">
        <f t="shared" ref="H5:H52" si="1">SUMIFS(G5:G5,D5:D5,"Notebook",C5:C5,"North")</f>
        <v>0</v>
      </c>
      <c r="I5" s="73">
        <v>45474</v>
      </c>
    </row>
    <row r="6" spans="1:10" ht="18.75" x14ac:dyDescent="0.3">
      <c r="A6" s="71">
        <v>1004</v>
      </c>
      <c r="B6" s="72" t="s">
        <v>63</v>
      </c>
      <c r="C6" s="72" t="s">
        <v>64</v>
      </c>
      <c r="D6" s="72" t="s">
        <v>56</v>
      </c>
      <c r="E6" s="71">
        <v>5</v>
      </c>
      <c r="F6" s="71">
        <v>50</v>
      </c>
      <c r="G6" s="71">
        <f t="shared" si="0"/>
        <v>250</v>
      </c>
      <c r="H6" s="71">
        <f t="shared" si="1"/>
        <v>0</v>
      </c>
      <c r="I6" s="73">
        <v>45505</v>
      </c>
    </row>
    <row r="7" spans="1:10" ht="18.75" x14ac:dyDescent="0.3">
      <c r="A7" s="71">
        <v>1005</v>
      </c>
      <c r="B7" s="72" t="s">
        <v>65</v>
      </c>
      <c r="C7" s="72" t="s">
        <v>55</v>
      </c>
      <c r="D7" s="72" t="s">
        <v>66</v>
      </c>
      <c r="E7" s="71">
        <v>30</v>
      </c>
      <c r="F7" s="71">
        <v>5</v>
      </c>
      <c r="G7" s="71">
        <f t="shared" si="0"/>
        <v>150</v>
      </c>
      <c r="H7" s="71">
        <f t="shared" si="1"/>
        <v>0</v>
      </c>
      <c r="I7" s="73">
        <v>45566</v>
      </c>
    </row>
    <row r="8" spans="1:10" ht="18.75" x14ac:dyDescent="0.3">
      <c r="A8" s="71">
        <v>1006</v>
      </c>
      <c r="B8" s="72" t="s">
        <v>67</v>
      </c>
      <c r="C8" s="72" t="s">
        <v>58</v>
      </c>
      <c r="D8" s="72" t="s">
        <v>56</v>
      </c>
      <c r="E8" s="71">
        <v>12</v>
      </c>
      <c r="F8" s="71">
        <v>50</v>
      </c>
      <c r="G8" s="71">
        <f t="shared" si="0"/>
        <v>600</v>
      </c>
      <c r="H8" s="71">
        <f t="shared" si="1"/>
        <v>0</v>
      </c>
      <c r="I8" s="73">
        <v>45597</v>
      </c>
    </row>
    <row r="9" spans="1:10" ht="18.75" x14ac:dyDescent="0.3">
      <c r="A9" s="71">
        <v>1007</v>
      </c>
      <c r="B9" s="72" t="s">
        <v>68</v>
      </c>
      <c r="C9" s="72" t="s">
        <v>61</v>
      </c>
      <c r="D9" s="72" t="s">
        <v>69</v>
      </c>
      <c r="E9" s="71">
        <v>25</v>
      </c>
      <c r="F9" s="71">
        <v>8</v>
      </c>
      <c r="G9" s="71">
        <f t="shared" si="0"/>
        <v>200</v>
      </c>
      <c r="H9" s="71">
        <f t="shared" si="1"/>
        <v>0</v>
      </c>
      <c r="I9" s="71" t="s">
        <v>70</v>
      </c>
    </row>
    <row r="10" spans="1:10" ht="18.75" x14ac:dyDescent="0.3">
      <c r="A10" s="71">
        <v>1008</v>
      </c>
      <c r="B10" s="72" t="s">
        <v>71</v>
      </c>
      <c r="C10" s="72" t="s">
        <v>64</v>
      </c>
      <c r="D10" s="72" t="s">
        <v>59</v>
      </c>
      <c r="E10" s="71">
        <v>18</v>
      </c>
      <c r="F10" s="71">
        <v>10</v>
      </c>
      <c r="G10" s="71">
        <f t="shared" si="0"/>
        <v>180</v>
      </c>
      <c r="H10" s="71">
        <f t="shared" si="1"/>
        <v>0</v>
      </c>
      <c r="I10" s="71" t="s">
        <v>72</v>
      </c>
    </row>
    <row r="11" spans="1:10" ht="18.75" x14ac:dyDescent="0.3">
      <c r="A11" s="71">
        <v>1009</v>
      </c>
      <c r="B11" s="72" t="s">
        <v>73</v>
      </c>
      <c r="C11" s="72" t="s">
        <v>55</v>
      </c>
      <c r="D11" s="72" t="s">
        <v>62</v>
      </c>
      <c r="E11" s="71">
        <v>22</v>
      </c>
      <c r="F11" s="71">
        <v>25</v>
      </c>
      <c r="G11" s="71">
        <f t="shared" si="0"/>
        <v>550</v>
      </c>
      <c r="H11" s="71">
        <f t="shared" si="1"/>
        <v>0</v>
      </c>
      <c r="I11" s="71" t="s">
        <v>74</v>
      </c>
    </row>
    <row r="12" spans="1:10" ht="18.75" x14ac:dyDescent="0.3">
      <c r="A12" s="71">
        <v>1010</v>
      </c>
      <c r="B12" s="72" t="s">
        <v>75</v>
      </c>
      <c r="C12" s="72" t="s">
        <v>58</v>
      </c>
      <c r="D12" s="72" t="s">
        <v>56</v>
      </c>
      <c r="E12" s="71">
        <v>8</v>
      </c>
      <c r="F12" s="71">
        <v>50</v>
      </c>
      <c r="G12" s="71">
        <f t="shared" si="0"/>
        <v>400</v>
      </c>
      <c r="H12" s="71">
        <f t="shared" si="1"/>
        <v>0</v>
      </c>
      <c r="I12" s="71" t="s">
        <v>76</v>
      </c>
    </row>
    <row r="13" spans="1:10" ht="18.75" x14ac:dyDescent="0.3">
      <c r="A13" s="71">
        <v>1011</v>
      </c>
      <c r="B13" s="72" t="s">
        <v>77</v>
      </c>
      <c r="C13" s="72" t="s">
        <v>61</v>
      </c>
      <c r="D13" s="72" t="s">
        <v>66</v>
      </c>
      <c r="E13" s="71">
        <v>40</v>
      </c>
      <c r="F13" s="71">
        <v>5</v>
      </c>
      <c r="G13" s="71">
        <f t="shared" si="0"/>
        <v>200</v>
      </c>
      <c r="H13" s="71">
        <f t="shared" si="1"/>
        <v>0</v>
      </c>
      <c r="I13" s="71" t="s">
        <v>78</v>
      </c>
    </row>
    <row r="14" spans="1:10" ht="18.75" x14ac:dyDescent="0.3">
      <c r="A14" s="71">
        <v>1012</v>
      </c>
      <c r="B14" s="72" t="s">
        <v>79</v>
      </c>
      <c r="C14" s="72" t="s">
        <v>64</v>
      </c>
      <c r="D14" s="72" t="s">
        <v>69</v>
      </c>
      <c r="E14" s="71">
        <v>35</v>
      </c>
      <c r="F14" s="71">
        <v>8</v>
      </c>
      <c r="G14" s="71">
        <f t="shared" si="0"/>
        <v>280</v>
      </c>
      <c r="H14" s="71">
        <f t="shared" si="1"/>
        <v>0</v>
      </c>
      <c r="I14" s="71" t="s">
        <v>80</v>
      </c>
    </row>
    <row r="15" spans="1:10" ht="18.75" x14ac:dyDescent="0.3">
      <c r="A15" s="71">
        <v>1013</v>
      </c>
      <c r="B15" s="72" t="s">
        <v>81</v>
      </c>
      <c r="C15" s="72" t="s">
        <v>55</v>
      </c>
      <c r="D15" s="72" t="s">
        <v>56</v>
      </c>
      <c r="E15" s="71">
        <v>14</v>
      </c>
      <c r="F15" s="71">
        <v>50</v>
      </c>
      <c r="G15" s="71">
        <f t="shared" si="0"/>
        <v>700</v>
      </c>
      <c r="H15" s="71">
        <f t="shared" si="1"/>
        <v>700</v>
      </c>
      <c r="I15" s="71" t="s">
        <v>82</v>
      </c>
    </row>
    <row r="16" spans="1:10" ht="18.75" x14ac:dyDescent="0.3">
      <c r="A16" s="71">
        <v>1014</v>
      </c>
      <c r="B16" s="72" t="s">
        <v>83</v>
      </c>
      <c r="C16" s="72" t="s">
        <v>58</v>
      </c>
      <c r="D16" s="72" t="s">
        <v>59</v>
      </c>
      <c r="E16" s="71">
        <v>28</v>
      </c>
      <c r="F16" s="71">
        <v>10</v>
      </c>
      <c r="G16" s="71">
        <f t="shared" si="0"/>
        <v>280</v>
      </c>
      <c r="H16" s="71">
        <f t="shared" si="1"/>
        <v>0</v>
      </c>
      <c r="I16" s="71" t="s">
        <v>84</v>
      </c>
    </row>
    <row r="17" spans="1:9" ht="18.75" x14ac:dyDescent="0.3">
      <c r="A17" s="71">
        <v>1015</v>
      </c>
      <c r="B17" s="72" t="s">
        <v>85</v>
      </c>
      <c r="C17" s="72" t="s">
        <v>61</v>
      </c>
      <c r="D17" s="72" t="s">
        <v>62</v>
      </c>
      <c r="E17" s="71">
        <v>12</v>
      </c>
      <c r="F17" s="71">
        <v>25</v>
      </c>
      <c r="G17" s="71">
        <f t="shared" si="0"/>
        <v>300</v>
      </c>
      <c r="H17" s="71">
        <f t="shared" si="1"/>
        <v>0</v>
      </c>
      <c r="I17" s="71" t="s">
        <v>86</v>
      </c>
    </row>
    <row r="18" spans="1:9" ht="18.75" x14ac:dyDescent="0.3">
      <c r="A18" s="71">
        <v>1016</v>
      </c>
      <c r="B18" s="72" t="s">
        <v>87</v>
      </c>
      <c r="C18" s="72" t="s">
        <v>64</v>
      </c>
      <c r="D18" s="72" t="s">
        <v>66</v>
      </c>
      <c r="E18" s="71">
        <v>25</v>
      </c>
      <c r="F18" s="71">
        <v>5</v>
      </c>
      <c r="G18" s="71">
        <f t="shared" si="0"/>
        <v>125</v>
      </c>
      <c r="H18" s="71">
        <f t="shared" si="1"/>
        <v>0</v>
      </c>
      <c r="I18" s="71" t="s">
        <v>88</v>
      </c>
    </row>
    <row r="19" spans="1:9" ht="18.75" x14ac:dyDescent="0.3">
      <c r="A19" s="71">
        <v>1017</v>
      </c>
      <c r="B19" s="72" t="s">
        <v>89</v>
      </c>
      <c r="C19" s="72" t="s">
        <v>55</v>
      </c>
      <c r="D19" s="72" t="s">
        <v>69</v>
      </c>
      <c r="E19" s="71">
        <v>20</v>
      </c>
      <c r="F19" s="71">
        <v>8</v>
      </c>
      <c r="G19" s="71">
        <f t="shared" si="0"/>
        <v>160</v>
      </c>
      <c r="H19" s="71">
        <f t="shared" si="1"/>
        <v>0</v>
      </c>
      <c r="I19" s="71" t="s">
        <v>90</v>
      </c>
    </row>
    <row r="20" spans="1:9" ht="18.75" x14ac:dyDescent="0.3">
      <c r="A20" s="71">
        <v>1018</v>
      </c>
      <c r="B20" s="72" t="s">
        <v>91</v>
      </c>
      <c r="C20" s="72" t="s">
        <v>58</v>
      </c>
      <c r="D20" s="72" t="s">
        <v>56</v>
      </c>
      <c r="E20" s="71">
        <v>10</v>
      </c>
      <c r="F20" s="71">
        <v>50</v>
      </c>
      <c r="G20" s="71">
        <f t="shared" si="0"/>
        <v>500</v>
      </c>
      <c r="H20" s="71">
        <f t="shared" si="1"/>
        <v>0</v>
      </c>
      <c r="I20" s="71" t="s">
        <v>92</v>
      </c>
    </row>
    <row r="21" spans="1:9" ht="18.75" x14ac:dyDescent="0.3">
      <c r="A21" s="71">
        <v>1019</v>
      </c>
      <c r="B21" s="72" t="s">
        <v>93</v>
      </c>
      <c r="C21" s="72" t="s">
        <v>61</v>
      </c>
      <c r="D21" s="72" t="s">
        <v>59</v>
      </c>
      <c r="E21" s="71">
        <v>15</v>
      </c>
      <c r="F21" s="71">
        <v>10</v>
      </c>
      <c r="G21" s="71">
        <f t="shared" si="0"/>
        <v>150</v>
      </c>
      <c r="H21" s="71">
        <f t="shared" si="1"/>
        <v>0</v>
      </c>
      <c r="I21" s="71" t="s">
        <v>94</v>
      </c>
    </row>
    <row r="22" spans="1:9" ht="18.75" x14ac:dyDescent="0.3">
      <c r="A22" s="71">
        <v>1020</v>
      </c>
      <c r="B22" s="72" t="s">
        <v>95</v>
      </c>
      <c r="C22" s="72" t="s">
        <v>64</v>
      </c>
      <c r="D22" s="72" t="s">
        <v>62</v>
      </c>
      <c r="E22" s="71">
        <v>18</v>
      </c>
      <c r="F22" s="71">
        <v>25</v>
      </c>
      <c r="G22" s="71">
        <f t="shared" si="0"/>
        <v>450</v>
      </c>
      <c r="H22" s="71">
        <f t="shared" si="1"/>
        <v>0</v>
      </c>
      <c r="I22" s="73">
        <v>45293</v>
      </c>
    </row>
    <row r="23" spans="1:9" ht="18.75" x14ac:dyDescent="0.3">
      <c r="A23" s="71">
        <v>1021</v>
      </c>
      <c r="B23" s="72" t="s">
        <v>96</v>
      </c>
      <c r="C23" s="72" t="s">
        <v>55</v>
      </c>
      <c r="D23" s="72" t="s">
        <v>56</v>
      </c>
      <c r="E23" s="71">
        <v>9</v>
      </c>
      <c r="F23" s="71">
        <v>50</v>
      </c>
      <c r="G23" s="71">
        <f t="shared" si="0"/>
        <v>450</v>
      </c>
      <c r="H23" s="71">
        <f t="shared" si="1"/>
        <v>450</v>
      </c>
      <c r="I23" s="73">
        <v>45324</v>
      </c>
    </row>
    <row r="24" spans="1:9" ht="18.75" x14ac:dyDescent="0.3">
      <c r="A24" s="71">
        <v>1022</v>
      </c>
      <c r="B24" s="72" t="s">
        <v>97</v>
      </c>
      <c r="C24" s="72" t="s">
        <v>58</v>
      </c>
      <c r="D24" s="72" t="s">
        <v>66</v>
      </c>
      <c r="E24" s="71">
        <v>35</v>
      </c>
      <c r="F24" s="71">
        <v>5</v>
      </c>
      <c r="G24" s="71">
        <f t="shared" si="0"/>
        <v>175</v>
      </c>
      <c r="H24" s="71">
        <f t="shared" si="1"/>
        <v>0</v>
      </c>
      <c r="I24" s="73">
        <v>45353</v>
      </c>
    </row>
    <row r="25" spans="1:9" ht="18.75" x14ac:dyDescent="0.3">
      <c r="A25" s="71">
        <v>1023</v>
      </c>
      <c r="B25" s="72" t="s">
        <v>98</v>
      </c>
      <c r="C25" s="72" t="s">
        <v>61</v>
      </c>
      <c r="D25" s="72" t="s">
        <v>69</v>
      </c>
      <c r="E25" s="71">
        <v>30</v>
      </c>
      <c r="F25" s="71">
        <v>8</v>
      </c>
      <c r="G25" s="71">
        <f t="shared" si="0"/>
        <v>240</v>
      </c>
      <c r="H25" s="71">
        <f t="shared" si="1"/>
        <v>0</v>
      </c>
      <c r="I25" s="73">
        <v>45384</v>
      </c>
    </row>
    <row r="26" spans="1:9" ht="18.75" x14ac:dyDescent="0.3">
      <c r="A26" s="71">
        <v>1024</v>
      </c>
      <c r="B26" s="72" t="s">
        <v>99</v>
      </c>
      <c r="C26" s="72" t="s">
        <v>64</v>
      </c>
      <c r="D26" s="72" t="s">
        <v>56</v>
      </c>
      <c r="E26" s="71">
        <v>11</v>
      </c>
      <c r="F26" s="71">
        <v>50</v>
      </c>
      <c r="G26" s="71">
        <f t="shared" si="0"/>
        <v>550</v>
      </c>
      <c r="H26" s="71">
        <f t="shared" si="1"/>
        <v>0</v>
      </c>
      <c r="I26" s="73">
        <v>45445</v>
      </c>
    </row>
    <row r="27" spans="1:9" ht="18.75" x14ac:dyDescent="0.3">
      <c r="A27" s="71">
        <v>1025</v>
      </c>
      <c r="B27" s="72" t="s">
        <v>100</v>
      </c>
      <c r="C27" s="72" t="s">
        <v>55</v>
      </c>
      <c r="D27" s="72" t="s">
        <v>59</v>
      </c>
      <c r="E27" s="71">
        <v>14</v>
      </c>
      <c r="F27" s="71">
        <v>10</v>
      </c>
      <c r="G27" s="71">
        <f t="shared" si="0"/>
        <v>140</v>
      </c>
      <c r="H27" s="71">
        <f t="shared" si="1"/>
        <v>0</v>
      </c>
      <c r="I27" s="73">
        <v>45475</v>
      </c>
    </row>
    <row r="28" spans="1:9" ht="18.75" x14ac:dyDescent="0.3">
      <c r="A28" s="71">
        <v>1026</v>
      </c>
      <c r="B28" s="72" t="s">
        <v>101</v>
      </c>
      <c r="C28" s="72" t="s">
        <v>58</v>
      </c>
      <c r="D28" s="72" t="s">
        <v>62</v>
      </c>
      <c r="E28" s="71">
        <v>16</v>
      </c>
      <c r="F28" s="71">
        <v>25</v>
      </c>
      <c r="G28" s="71">
        <f t="shared" si="0"/>
        <v>400</v>
      </c>
      <c r="H28" s="71">
        <f t="shared" si="1"/>
        <v>0</v>
      </c>
      <c r="I28" s="73">
        <v>45506</v>
      </c>
    </row>
    <row r="29" spans="1:9" ht="18.75" x14ac:dyDescent="0.3">
      <c r="A29" s="71">
        <v>1027</v>
      </c>
      <c r="B29" s="72" t="s">
        <v>102</v>
      </c>
      <c r="C29" s="72" t="s">
        <v>61</v>
      </c>
      <c r="D29" s="72" t="s">
        <v>66</v>
      </c>
      <c r="E29" s="71">
        <v>22</v>
      </c>
      <c r="F29" s="71">
        <v>5</v>
      </c>
      <c r="G29" s="71">
        <f t="shared" si="0"/>
        <v>110</v>
      </c>
      <c r="H29" s="71">
        <f t="shared" si="1"/>
        <v>0</v>
      </c>
      <c r="I29" s="73">
        <v>45537</v>
      </c>
    </row>
    <row r="30" spans="1:9" ht="18.75" x14ac:dyDescent="0.3">
      <c r="A30" s="71">
        <v>1028</v>
      </c>
      <c r="B30" s="72" t="s">
        <v>103</v>
      </c>
      <c r="C30" s="72" t="s">
        <v>64</v>
      </c>
      <c r="D30" s="72" t="s">
        <v>69</v>
      </c>
      <c r="E30" s="71">
        <v>27</v>
      </c>
      <c r="F30" s="71">
        <v>8</v>
      </c>
      <c r="G30" s="71">
        <f t="shared" si="0"/>
        <v>216</v>
      </c>
      <c r="H30" s="71">
        <f t="shared" si="1"/>
        <v>0</v>
      </c>
      <c r="I30" s="73">
        <v>45567</v>
      </c>
    </row>
    <row r="31" spans="1:9" ht="18.75" x14ac:dyDescent="0.3">
      <c r="A31" s="71">
        <v>1029</v>
      </c>
      <c r="B31" s="72" t="s">
        <v>104</v>
      </c>
      <c r="C31" s="72" t="s">
        <v>55</v>
      </c>
      <c r="D31" s="72" t="s">
        <v>56</v>
      </c>
      <c r="E31" s="71">
        <v>13</v>
      </c>
      <c r="F31" s="71">
        <v>50</v>
      </c>
      <c r="G31" s="71">
        <f t="shared" si="0"/>
        <v>650</v>
      </c>
      <c r="H31" s="71">
        <f t="shared" si="1"/>
        <v>650</v>
      </c>
      <c r="I31" s="73">
        <v>45628</v>
      </c>
    </row>
    <row r="32" spans="1:9" ht="18.75" x14ac:dyDescent="0.3">
      <c r="A32" s="71">
        <v>1030</v>
      </c>
      <c r="B32" s="72" t="s">
        <v>105</v>
      </c>
      <c r="C32" s="72" t="s">
        <v>58</v>
      </c>
      <c r="D32" s="72" t="s">
        <v>59</v>
      </c>
      <c r="E32" s="71">
        <v>32</v>
      </c>
      <c r="F32" s="71">
        <v>10</v>
      </c>
      <c r="G32" s="71">
        <f t="shared" si="0"/>
        <v>320</v>
      </c>
      <c r="H32" s="71">
        <f t="shared" si="1"/>
        <v>0</v>
      </c>
      <c r="I32" s="71" t="s">
        <v>106</v>
      </c>
    </row>
    <row r="33" spans="1:9" ht="18.75" x14ac:dyDescent="0.3">
      <c r="A33" s="71">
        <v>1031</v>
      </c>
      <c r="B33" s="72" t="s">
        <v>107</v>
      </c>
      <c r="C33" s="72" t="s">
        <v>61</v>
      </c>
      <c r="D33" s="72" t="s">
        <v>62</v>
      </c>
      <c r="E33" s="71">
        <v>10</v>
      </c>
      <c r="F33" s="71">
        <v>25</v>
      </c>
      <c r="G33" s="71">
        <f t="shared" si="0"/>
        <v>250</v>
      </c>
      <c r="H33" s="71">
        <f t="shared" si="1"/>
        <v>0</v>
      </c>
      <c r="I33" s="71" t="s">
        <v>108</v>
      </c>
    </row>
    <row r="34" spans="1:9" ht="18.75" x14ac:dyDescent="0.3">
      <c r="A34" s="71">
        <v>1032</v>
      </c>
      <c r="B34" s="72" t="s">
        <v>109</v>
      </c>
      <c r="C34" s="72" t="s">
        <v>64</v>
      </c>
      <c r="D34" s="72" t="s">
        <v>66</v>
      </c>
      <c r="E34" s="71">
        <v>18</v>
      </c>
      <c r="F34" s="71">
        <v>5</v>
      </c>
      <c r="G34" s="71">
        <f t="shared" si="0"/>
        <v>90</v>
      </c>
      <c r="H34" s="71">
        <f t="shared" si="1"/>
        <v>0</v>
      </c>
      <c r="I34" s="71" t="s">
        <v>110</v>
      </c>
    </row>
    <row r="35" spans="1:9" ht="18.75" x14ac:dyDescent="0.3">
      <c r="A35" s="71">
        <v>1033</v>
      </c>
      <c r="B35" s="72" t="s">
        <v>111</v>
      </c>
      <c r="C35" s="72" t="s">
        <v>55</v>
      </c>
      <c r="D35" s="72" t="s">
        <v>69</v>
      </c>
      <c r="E35" s="71">
        <v>22</v>
      </c>
      <c r="F35" s="71">
        <v>8</v>
      </c>
      <c r="G35" s="71">
        <f t="shared" si="0"/>
        <v>176</v>
      </c>
      <c r="H35" s="71">
        <f t="shared" si="1"/>
        <v>0</v>
      </c>
      <c r="I35" s="71" t="s">
        <v>112</v>
      </c>
    </row>
    <row r="36" spans="1:9" ht="18.75" x14ac:dyDescent="0.3">
      <c r="A36" s="71">
        <v>1034</v>
      </c>
      <c r="B36" s="72" t="s">
        <v>113</v>
      </c>
      <c r="C36" s="72" t="s">
        <v>58</v>
      </c>
      <c r="D36" s="72" t="s">
        <v>56</v>
      </c>
      <c r="E36" s="71">
        <v>17</v>
      </c>
      <c r="F36" s="71">
        <v>50</v>
      </c>
      <c r="G36" s="71">
        <f t="shared" si="0"/>
        <v>850</v>
      </c>
      <c r="H36" s="71">
        <f t="shared" si="1"/>
        <v>0</v>
      </c>
      <c r="I36" s="71" t="s">
        <v>114</v>
      </c>
    </row>
    <row r="37" spans="1:9" ht="18.75" x14ac:dyDescent="0.3">
      <c r="A37" s="71">
        <v>1035</v>
      </c>
      <c r="B37" s="72" t="s">
        <v>115</v>
      </c>
      <c r="C37" s="72" t="s">
        <v>61</v>
      </c>
      <c r="D37" s="72" t="s">
        <v>59</v>
      </c>
      <c r="E37" s="71">
        <v>19</v>
      </c>
      <c r="F37" s="71">
        <v>10</v>
      </c>
      <c r="G37" s="71">
        <f t="shared" si="0"/>
        <v>190</v>
      </c>
      <c r="H37" s="71">
        <f t="shared" si="1"/>
        <v>0</v>
      </c>
      <c r="I37" s="71" t="s">
        <v>116</v>
      </c>
    </row>
    <row r="38" spans="1:9" ht="18.75" x14ac:dyDescent="0.3">
      <c r="A38" s="71">
        <v>1036</v>
      </c>
      <c r="B38" s="72" t="s">
        <v>117</v>
      </c>
      <c r="C38" s="72" t="s">
        <v>64</v>
      </c>
      <c r="D38" s="72" t="s">
        <v>62</v>
      </c>
      <c r="E38" s="71">
        <v>15</v>
      </c>
      <c r="F38" s="71">
        <v>25</v>
      </c>
      <c r="G38" s="71">
        <f t="shared" si="0"/>
        <v>375</v>
      </c>
      <c r="H38" s="71">
        <f t="shared" si="1"/>
        <v>0</v>
      </c>
      <c r="I38" s="71" t="s">
        <v>118</v>
      </c>
    </row>
    <row r="39" spans="1:9" ht="18.75" x14ac:dyDescent="0.3">
      <c r="A39" s="71">
        <v>1037</v>
      </c>
      <c r="B39" s="72" t="s">
        <v>119</v>
      </c>
      <c r="C39" s="72" t="s">
        <v>55</v>
      </c>
      <c r="D39" s="72" t="s">
        <v>66</v>
      </c>
      <c r="E39" s="71">
        <v>28</v>
      </c>
      <c r="F39" s="71">
        <v>5</v>
      </c>
      <c r="G39" s="71">
        <f t="shared" si="0"/>
        <v>140</v>
      </c>
      <c r="H39" s="71">
        <f t="shared" si="1"/>
        <v>0</v>
      </c>
      <c r="I39" s="71" t="s">
        <v>120</v>
      </c>
    </row>
    <row r="40" spans="1:9" ht="18.75" x14ac:dyDescent="0.3">
      <c r="A40" s="71">
        <v>1038</v>
      </c>
      <c r="B40" s="72" t="s">
        <v>121</v>
      </c>
      <c r="C40" s="72" t="s">
        <v>58</v>
      </c>
      <c r="D40" s="72" t="s">
        <v>69</v>
      </c>
      <c r="E40" s="71">
        <v>24</v>
      </c>
      <c r="F40" s="71">
        <v>8</v>
      </c>
      <c r="G40" s="71">
        <f t="shared" si="0"/>
        <v>192</v>
      </c>
      <c r="H40" s="71">
        <f t="shared" si="1"/>
        <v>0</v>
      </c>
      <c r="I40" s="71" t="s">
        <v>122</v>
      </c>
    </row>
    <row r="41" spans="1:9" ht="18.75" x14ac:dyDescent="0.3">
      <c r="A41" s="71">
        <v>1039</v>
      </c>
      <c r="B41" s="72" t="s">
        <v>123</v>
      </c>
      <c r="C41" s="72" t="s">
        <v>61</v>
      </c>
      <c r="D41" s="72" t="s">
        <v>56</v>
      </c>
      <c r="E41" s="71">
        <v>16</v>
      </c>
      <c r="F41" s="71">
        <v>50</v>
      </c>
      <c r="G41" s="71">
        <f t="shared" si="0"/>
        <v>800</v>
      </c>
      <c r="H41" s="71">
        <f t="shared" si="1"/>
        <v>0</v>
      </c>
      <c r="I41" s="71" t="s">
        <v>124</v>
      </c>
    </row>
    <row r="42" spans="1:9" ht="18.75" x14ac:dyDescent="0.3">
      <c r="A42" s="71">
        <v>1040</v>
      </c>
      <c r="B42" s="72" t="s">
        <v>125</v>
      </c>
      <c r="C42" s="72" t="s">
        <v>64</v>
      </c>
      <c r="D42" s="72" t="s">
        <v>59</v>
      </c>
      <c r="E42" s="71">
        <v>27</v>
      </c>
      <c r="F42" s="71">
        <v>10</v>
      </c>
      <c r="G42" s="71">
        <f t="shared" si="0"/>
        <v>270</v>
      </c>
      <c r="H42" s="71">
        <f t="shared" si="1"/>
        <v>0</v>
      </c>
      <c r="I42" s="71" t="s">
        <v>126</v>
      </c>
    </row>
    <row r="43" spans="1:9" ht="18.75" x14ac:dyDescent="0.3">
      <c r="A43" s="71">
        <v>1041</v>
      </c>
      <c r="B43" s="72" t="s">
        <v>127</v>
      </c>
      <c r="C43" s="72" t="s">
        <v>55</v>
      </c>
      <c r="D43" s="72" t="s">
        <v>62</v>
      </c>
      <c r="E43" s="71">
        <v>21</v>
      </c>
      <c r="F43" s="71">
        <v>25</v>
      </c>
      <c r="G43" s="71">
        <f t="shared" si="0"/>
        <v>525</v>
      </c>
      <c r="H43" s="71">
        <f t="shared" si="1"/>
        <v>0</v>
      </c>
      <c r="I43" s="71" t="s">
        <v>128</v>
      </c>
    </row>
    <row r="44" spans="1:9" ht="18.75" x14ac:dyDescent="0.3">
      <c r="A44" s="71">
        <v>1042</v>
      </c>
      <c r="B44" s="72" t="s">
        <v>129</v>
      </c>
      <c r="C44" s="72" t="s">
        <v>58</v>
      </c>
      <c r="D44" s="72" t="s">
        <v>66</v>
      </c>
      <c r="E44" s="71">
        <v>30</v>
      </c>
      <c r="F44" s="71">
        <v>5</v>
      </c>
      <c r="G44" s="71">
        <f t="shared" si="0"/>
        <v>150</v>
      </c>
      <c r="H44" s="71">
        <f t="shared" si="1"/>
        <v>0</v>
      </c>
      <c r="I44" s="71" t="s">
        <v>130</v>
      </c>
    </row>
    <row r="45" spans="1:9" ht="18.75" x14ac:dyDescent="0.3">
      <c r="A45" s="71">
        <v>1043</v>
      </c>
      <c r="B45" s="72" t="s">
        <v>131</v>
      </c>
      <c r="C45" s="72" t="s">
        <v>61</v>
      </c>
      <c r="D45" s="72" t="s">
        <v>69</v>
      </c>
      <c r="E45" s="71">
        <v>26</v>
      </c>
      <c r="F45" s="71">
        <v>8</v>
      </c>
      <c r="G45" s="71">
        <f t="shared" si="0"/>
        <v>208</v>
      </c>
      <c r="H45" s="71">
        <f t="shared" si="1"/>
        <v>0</v>
      </c>
      <c r="I45" s="73">
        <v>45294</v>
      </c>
    </row>
    <row r="46" spans="1:9" ht="18.75" x14ac:dyDescent="0.3">
      <c r="A46" s="71">
        <v>1044</v>
      </c>
      <c r="B46" s="72" t="s">
        <v>132</v>
      </c>
      <c r="C46" s="72" t="s">
        <v>64</v>
      </c>
      <c r="D46" s="72" t="s">
        <v>56</v>
      </c>
      <c r="E46" s="71">
        <v>14</v>
      </c>
      <c r="F46" s="71">
        <v>50</v>
      </c>
      <c r="G46" s="71">
        <f t="shared" si="0"/>
        <v>700</v>
      </c>
      <c r="H46" s="71">
        <f t="shared" si="1"/>
        <v>0</v>
      </c>
      <c r="I46" s="73">
        <v>45325</v>
      </c>
    </row>
    <row r="47" spans="1:9" ht="18.75" x14ac:dyDescent="0.3">
      <c r="A47" s="71">
        <v>1045</v>
      </c>
      <c r="B47" s="72" t="s">
        <v>133</v>
      </c>
      <c r="C47" s="72" t="s">
        <v>55</v>
      </c>
      <c r="D47" s="72" t="s">
        <v>59</v>
      </c>
      <c r="E47" s="71">
        <v>20</v>
      </c>
      <c r="F47" s="71">
        <v>10</v>
      </c>
      <c r="G47" s="71">
        <f t="shared" si="0"/>
        <v>200</v>
      </c>
      <c r="H47" s="71">
        <f t="shared" si="1"/>
        <v>0</v>
      </c>
      <c r="I47" s="73">
        <v>45354</v>
      </c>
    </row>
    <row r="48" spans="1:9" ht="18.75" x14ac:dyDescent="0.3">
      <c r="A48" s="71">
        <v>1046</v>
      </c>
      <c r="B48" s="72" t="s">
        <v>134</v>
      </c>
      <c r="C48" s="72" t="s">
        <v>58</v>
      </c>
      <c r="D48" s="72" t="s">
        <v>62</v>
      </c>
      <c r="E48" s="71">
        <v>17</v>
      </c>
      <c r="F48" s="71">
        <v>25</v>
      </c>
      <c r="G48" s="71">
        <f t="shared" si="0"/>
        <v>425</v>
      </c>
      <c r="H48" s="71">
        <f t="shared" si="1"/>
        <v>0</v>
      </c>
      <c r="I48" s="73">
        <v>45385</v>
      </c>
    </row>
    <row r="49" spans="1:9" ht="18.75" x14ac:dyDescent="0.3">
      <c r="A49" s="71">
        <v>1047</v>
      </c>
      <c r="B49" s="72" t="s">
        <v>135</v>
      </c>
      <c r="C49" s="72" t="s">
        <v>61</v>
      </c>
      <c r="D49" s="72" t="s">
        <v>66</v>
      </c>
      <c r="E49" s="71">
        <v>19</v>
      </c>
      <c r="F49" s="71">
        <v>5</v>
      </c>
      <c r="G49" s="71">
        <f t="shared" si="0"/>
        <v>95</v>
      </c>
      <c r="H49" s="71">
        <f t="shared" si="1"/>
        <v>0</v>
      </c>
      <c r="I49" s="73">
        <v>45415</v>
      </c>
    </row>
    <row r="50" spans="1:9" ht="18.75" x14ac:dyDescent="0.3">
      <c r="A50" s="71">
        <v>1048</v>
      </c>
      <c r="B50" s="72" t="s">
        <v>136</v>
      </c>
      <c r="C50" s="72" t="s">
        <v>64</v>
      </c>
      <c r="D50" s="72" t="s">
        <v>69</v>
      </c>
      <c r="E50" s="71">
        <v>32</v>
      </c>
      <c r="F50" s="71">
        <v>8</v>
      </c>
      <c r="G50" s="71">
        <f t="shared" si="0"/>
        <v>256</v>
      </c>
      <c r="H50" s="71">
        <f t="shared" si="1"/>
        <v>0</v>
      </c>
      <c r="I50" s="73">
        <v>45446</v>
      </c>
    </row>
    <row r="51" spans="1:9" ht="18.75" x14ac:dyDescent="0.3">
      <c r="A51" s="71">
        <v>1049</v>
      </c>
      <c r="B51" s="72" t="s">
        <v>137</v>
      </c>
      <c r="C51" s="72" t="s">
        <v>55</v>
      </c>
      <c r="D51" s="72" t="s">
        <v>56</v>
      </c>
      <c r="E51" s="71">
        <v>12</v>
      </c>
      <c r="F51" s="71">
        <v>50</v>
      </c>
      <c r="G51" s="71">
        <f t="shared" si="0"/>
        <v>600</v>
      </c>
      <c r="H51" s="71">
        <f t="shared" si="1"/>
        <v>600</v>
      </c>
      <c r="I51" s="73">
        <v>45476</v>
      </c>
    </row>
    <row r="52" spans="1:9" ht="18.75" x14ac:dyDescent="0.3">
      <c r="A52" s="71">
        <v>1050</v>
      </c>
      <c r="B52" s="72" t="s">
        <v>138</v>
      </c>
      <c r="C52" s="72" t="s">
        <v>58</v>
      </c>
      <c r="D52" s="72" t="s">
        <v>59</v>
      </c>
      <c r="E52" s="71">
        <v>25</v>
      </c>
      <c r="F52" s="71">
        <v>10</v>
      </c>
      <c r="G52" s="71">
        <f t="shared" si="0"/>
        <v>250</v>
      </c>
      <c r="H52" s="71">
        <f t="shared" si="1"/>
        <v>0</v>
      </c>
      <c r="I52" s="73">
        <v>45507</v>
      </c>
    </row>
    <row r="53" spans="1:9" ht="23.25" x14ac:dyDescent="0.35">
      <c r="G53" s="74">
        <f>SUM(G3:G52)</f>
        <v>16543</v>
      </c>
      <c r="H53" s="74">
        <f>SUM(H3:H52)</f>
        <v>2900</v>
      </c>
    </row>
    <row r="54" spans="1:9" ht="23.25" x14ac:dyDescent="0.35">
      <c r="B54" s="55" t="s">
        <v>145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opLeftCell="A43" workbookViewId="0">
      <selection activeCell="N69" sqref="N69"/>
    </sheetView>
  </sheetViews>
  <sheetFormatPr defaultRowHeight="15" x14ac:dyDescent="0.25"/>
  <cols>
    <col min="1" max="1" width="10.42578125" bestFit="1" customWidth="1"/>
    <col min="2" max="2" width="19.28515625" bestFit="1" customWidth="1"/>
    <col min="3" max="3" width="20" bestFit="1" customWidth="1"/>
    <col min="4" max="4" width="12.140625" bestFit="1" customWidth="1"/>
    <col min="5" max="5" width="11.28515625" bestFit="1" customWidth="1"/>
    <col min="6" max="6" width="11.85546875" bestFit="1" customWidth="1"/>
    <col min="7" max="7" width="13.5703125" bestFit="1" customWidth="1"/>
    <col min="8" max="8" width="14.5703125" bestFit="1" customWidth="1"/>
    <col min="11" max="11" width="1.42578125" bestFit="1" customWidth="1"/>
  </cols>
  <sheetData>
    <row r="1" spans="1:9" ht="21" x14ac:dyDescent="0.35">
      <c r="A1" s="120" t="s">
        <v>146</v>
      </c>
      <c r="B1" s="120"/>
      <c r="C1" s="120"/>
      <c r="D1" s="120"/>
      <c r="E1" s="120"/>
      <c r="F1" s="120"/>
      <c r="G1" s="120"/>
      <c r="H1" s="120"/>
      <c r="I1" s="120"/>
    </row>
    <row r="2" spans="1:9" ht="18.75" x14ac:dyDescent="0.3">
      <c r="A2" s="121" t="s">
        <v>47</v>
      </c>
      <c r="B2" s="121" t="s">
        <v>48</v>
      </c>
      <c r="C2" s="121" t="s">
        <v>49</v>
      </c>
      <c r="D2" s="121" t="s">
        <v>50</v>
      </c>
      <c r="E2" s="121" t="s">
        <v>51</v>
      </c>
      <c r="F2" s="121" t="s">
        <v>52</v>
      </c>
      <c r="G2" s="121" t="s">
        <v>147</v>
      </c>
      <c r="H2" s="121" t="s">
        <v>53</v>
      </c>
    </row>
    <row r="3" spans="1:9" ht="18.75" x14ac:dyDescent="0.3">
      <c r="A3" s="71">
        <v>1001</v>
      </c>
      <c r="B3" s="122" t="s">
        <v>54</v>
      </c>
      <c r="C3" s="122" t="s">
        <v>55</v>
      </c>
      <c r="D3" s="122" t="s">
        <v>56</v>
      </c>
      <c r="E3" s="71">
        <v>10</v>
      </c>
      <c r="F3" s="71">
        <v>50</v>
      </c>
      <c r="G3" s="71">
        <f>E3*F3</f>
        <v>500</v>
      </c>
      <c r="H3" s="73">
        <v>45413</v>
      </c>
    </row>
    <row r="4" spans="1:9" ht="18.75" x14ac:dyDescent="0.3">
      <c r="A4" s="71">
        <v>1002</v>
      </c>
      <c r="B4" s="122" t="s">
        <v>57</v>
      </c>
      <c r="C4" s="122" t="s">
        <v>58</v>
      </c>
      <c r="D4" s="122" t="s">
        <v>59</v>
      </c>
      <c r="E4" s="71">
        <v>20</v>
      </c>
      <c r="F4" s="71">
        <v>10</v>
      </c>
      <c r="G4" s="71">
        <f t="shared" ref="G4:G52" si="0">E4*F4</f>
        <v>200</v>
      </c>
      <c r="H4" s="73">
        <v>45444</v>
      </c>
    </row>
    <row r="5" spans="1:9" ht="18.75" x14ac:dyDescent="0.3">
      <c r="A5" s="71">
        <v>1003</v>
      </c>
      <c r="B5" s="122" t="s">
        <v>60</v>
      </c>
      <c r="C5" s="122" t="s">
        <v>61</v>
      </c>
      <c r="D5" s="122" t="s">
        <v>62</v>
      </c>
      <c r="E5" s="71">
        <v>15</v>
      </c>
      <c r="F5" s="71">
        <v>25</v>
      </c>
      <c r="G5" s="71">
        <f t="shared" si="0"/>
        <v>375</v>
      </c>
      <c r="H5" s="73">
        <v>45474</v>
      </c>
    </row>
    <row r="6" spans="1:9" ht="18.75" x14ac:dyDescent="0.3">
      <c r="A6" s="71">
        <v>1004</v>
      </c>
      <c r="B6" s="122" t="s">
        <v>63</v>
      </c>
      <c r="C6" s="122" t="s">
        <v>64</v>
      </c>
      <c r="D6" s="122" t="s">
        <v>56</v>
      </c>
      <c r="E6" s="71">
        <v>5</v>
      </c>
      <c r="F6" s="71">
        <v>50</v>
      </c>
      <c r="G6" s="71">
        <f t="shared" si="0"/>
        <v>250</v>
      </c>
      <c r="H6" s="73">
        <v>45505</v>
      </c>
    </row>
    <row r="7" spans="1:9" ht="18.75" x14ac:dyDescent="0.3">
      <c r="A7" s="71">
        <v>1005</v>
      </c>
      <c r="B7" s="122" t="s">
        <v>65</v>
      </c>
      <c r="C7" s="122" t="s">
        <v>55</v>
      </c>
      <c r="D7" s="122" t="s">
        <v>66</v>
      </c>
      <c r="E7" s="71">
        <v>30</v>
      </c>
      <c r="F7" s="71">
        <v>5</v>
      </c>
      <c r="G7" s="71">
        <f t="shared" si="0"/>
        <v>150</v>
      </c>
      <c r="H7" s="73">
        <v>45566</v>
      </c>
    </row>
    <row r="8" spans="1:9" ht="18.75" x14ac:dyDescent="0.3">
      <c r="A8" s="71">
        <v>1006</v>
      </c>
      <c r="B8" s="122" t="s">
        <v>67</v>
      </c>
      <c r="C8" s="122" t="s">
        <v>58</v>
      </c>
      <c r="D8" s="122" t="s">
        <v>56</v>
      </c>
      <c r="E8" s="71">
        <v>12</v>
      </c>
      <c r="F8" s="71">
        <v>50</v>
      </c>
      <c r="G8" s="71">
        <f t="shared" si="0"/>
        <v>600</v>
      </c>
      <c r="H8" s="73">
        <v>45597</v>
      </c>
    </row>
    <row r="9" spans="1:9" ht="18.75" x14ac:dyDescent="0.3">
      <c r="A9" s="71">
        <v>1007</v>
      </c>
      <c r="B9" s="122" t="s">
        <v>68</v>
      </c>
      <c r="C9" s="122" t="s">
        <v>61</v>
      </c>
      <c r="D9" s="122" t="s">
        <v>69</v>
      </c>
      <c r="E9" s="71">
        <v>25</v>
      </c>
      <c r="F9" s="71">
        <v>8</v>
      </c>
      <c r="G9" s="71">
        <f t="shared" si="0"/>
        <v>200</v>
      </c>
      <c r="H9" s="71" t="s">
        <v>70</v>
      </c>
    </row>
    <row r="10" spans="1:9" ht="18.75" x14ac:dyDescent="0.3">
      <c r="A10" s="71">
        <v>1008</v>
      </c>
      <c r="B10" s="122" t="s">
        <v>71</v>
      </c>
      <c r="C10" s="122" t="s">
        <v>64</v>
      </c>
      <c r="D10" s="122" t="s">
        <v>59</v>
      </c>
      <c r="E10" s="71">
        <v>18</v>
      </c>
      <c r="F10" s="71">
        <v>10</v>
      </c>
      <c r="G10" s="71">
        <f t="shared" si="0"/>
        <v>180</v>
      </c>
      <c r="H10" s="71" t="s">
        <v>72</v>
      </c>
    </row>
    <row r="11" spans="1:9" ht="18.75" x14ac:dyDescent="0.3">
      <c r="A11" s="71">
        <v>1009</v>
      </c>
      <c r="B11" s="122" t="s">
        <v>73</v>
      </c>
      <c r="C11" s="122" t="s">
        <v>55</v>
      </c>
      <c r="D11" s="122" t="s">
        <v>62</v>
      </c>
      <c r="E11" s="71">
        <v>22</v>
      </c>
      <c r="F11" s="71">
        <v>25</v>
      </c>
      <c r="G11" s="71">
        <f t="shared" si="0"/>
        <v>550</v>
      </c>
      <c r="H11" s="71" t="s">
        <v>74</v>
      </c>
    </row>
    <row r="12" spans="1:9" ht="18.75" x14ac:dyDescent="0.3">
      <c r="A12" s="71">
        <v>1010</v>
      </c>
      <c r="B12" s="122" t="s">
        <v>75</v>
      </c>
      <c r="C12" s="122" t="s">
        <v>58</v>
      </c>
      <c r="D12" s="122" t="s">
        <v>56</v>
      </c>
      <c r="E12" s="71">
        <v>8</v>
      </c>
      <c r="F12" s="71">
        <v>50</v>
      </c>
      <c r="G12" s="71">
        <f t="shared" si="0"/>
        <v>400</v>
      </c>
      <c r="H12" s="71" t="s">
        <v>76</v>
      </c>
    </row>
    <row r="13" spans="1:9" ht="18.75" x14ac:dyDescent="0.3">
      <c r="A13" s="71">
        <v>1011</v>
      </c>
      <c r="B13" s="122" t="s">
        <v>77</v>
      </c>
      <c r="C13" s="122" t="s">
        <v>61</v>
      </c>
      <c r="D13" s="122" t="s">
        <v>66</v>
      </c>
      <c r="E13" s="71">
        <v>40</v>
      </c>
      <c r="F13" s="71">
        <v>5</v>
      </c>
      <c r="G13" s="71">
        <f t="shared" si="0"/>
        <v>200</v>
      </c>
      <c r="H13" s="71" t="s">
        <v>78</v>
      </c>
    </row>
    <row r="14" spans="1:9" ht="18.75" x14ac:dyDescent="0.3">
      <c r="A14" s="71">
        <v>1012</v>
      </c>
      <c r="B14" s="122" t="s">
        <v>79</v>
      </c>
      <c r="C14" s="122" t="s">
        <v>64</v>
      </c>
      <c r="D14" s="122" t="s">
        <v>69</v>
      </c>
      <c r="E14" s="71">
        <v>35</v>
      </c>
      <c r="F14" s="71">
        <v>8</v>
      </c>
      <c r="G14" s="71">
        <f t="shared" si="0"/>
        <v>280</v>
      </c>
      <c r="H14" s="71" t="s">
        <v>80</v>
      </c>
    </row>
    <row r="15" spans="1:9" ht="18.75" x14ac:dyDescent="0.3">
      <c r="A15" s="71">
        <v>1013</v>
      </c>
      <c r="B15" s="122" t="s">
        <v>81</v>
      </c>
      <c r="C15" s="122" t="s">
        <v>55</v>
      </c>
      <c r="D15" s="122" t="s">
        <v>56</v>
      </c>
      <c r="E15" s="71">
        <v>14</v>
      </c>
      <c r="F15" s="71">
        <v>50</v>
      </c>
      <c r="G15" s="71">
        <f t="shared" si="0"/>
        <v>700</v>
      </c>
      <c r="H15" s="71" t="s">
        <v>82</v>
      </c>
    </row>
    <row r="16" spans="1:9" ht="18.75" x14ac:dyDescent="0.3">
      <c r="A16" s="71">
        <v>1014</v>
      </c>
      <c r="B16" s="122" t="s">
        <v>83</v>
      </c>
      <c r="C16" s="122" t="s">
        <v>58</v>
      </c>
      <c r="D16" s="122" t="s">
        <v>59</v>
      </c>
      <c r="E16" s="71">
        <v>28</v>
      </c>
      <c r="F16" s="71">
        <v>10</v>
      </c>
      <c r="G16" s="71">
        <f t="shared" si="0"/>
        <v>280</v>
      </c>
      <c r="H16" s="71" t="s">
        <v>84</v>
      </c>
    </row>
    <row r="17" spans="1:8" ht="18.75" x14ac:dyDescent="0.3">
      <c r="A17" s="71">
        <v>1015</v>
      </c>
      <c r="B17" s="122" t="s">
        <v>85</v>
      </c>
      <c r="C17" s="122" t="s">
        <v>61</v>
      </c>
      <c r="D17" s="122" t="s">
        <v>62</v>
      </c>
      <c r="E17" s="71">
        <v>12</v>
      </c>
      <c r="F17" s="71">
        <v>25</v>
      </c>
      <c r="G17" s="71">
        <f t="shared" si="0"/>
        <v>300</v>
      </c>
      <c r="H17" s="71" t="s">
        <v>86</v>
      </c>
    </row>
    <row r="18" spans="1:8" ht="18.75" x14ac:dyDescent="0.3">
      <c r="A18" s="71">
        <v>1016</v>
      </c>
      <c r="B18" s="122" t="s">
        <v>87</v>
      </c>
      <c r="C18" s="122" t="s">
        <v>64</v>
      </c>
      <c r="D18" s="122" t="s">
        <v>66</v>
      </c>
      <c r="E18" s="71">
        <v>25</v>
      </c>
      <c r="F18" s="71">
        <v>5</v>
      </c>
      <c r="G18" s="71">
        <f t="shared" si="0"/>
        <v>125</v>
      </c>
      <c r="H18" s="71" t="s">
        <v>88</v>
      </c>
    </row>
    <row r="19" spans="1:8" ht="18.75" x14ac:dyDescent="0.3">
      <c r="A19" s="71">
        <v>1017</v>
      </c>
      <c r="B19" s="122" t="s">
        <v>89</v>
      </c>
      <c r="C19" s="122" t="s">
        <v>55</v>
      </c>
      <c r="D19" s="122" t="s">
        <v>69</v>
      </c>
      <c r="E19" s="71">
        <v>20</v>
      </c>
      <c r="F19" s="71">
        <v>8</v>
      </c>
      <c r="G19" s="71">
        <f t="shared" si="0"/>
        <v>160</v>
      </c>
      <c r="H19" s="71" t="s">
        <v>90</v>
      </c>
    </row>
    <row r="20" spans="1:8" ht="18.75" x14ac:dyDescent="0.3">
      <c r="A20" s="71">
        <v>1018</v>
      </c>
      <c r="B20" s="122" t="s">
        <v>91</v>
      </c>
      <c r="C20" s="122" t="s">
        <v>58</v>
      </c>
      <c r="D20" s="122" t="s">
        <v>56</v>
      </c>
      <c r="E20" s="71">
        <v>10</v>
      </c>
      <c r="F20" s="71">
        <v>50</v>
      </c>
      <c r="G20" s="71">
        <f t="shared" si="0"/>
        <v>500</v>
      </c>
      <c r="H20" s="71" t="s">
        <v>92</v>
      </c>
    </row>
    <row r="21" spans="1:8" ht="18.75" x14ac:dyDescent="0.3">
      <c r="A21" s="71">
        <v>1019</v>
      </c>
      <c r="B21" s="122" t="s">
        <v>93</v>
      </c>
      <c r="C21" s="122" t="s">
        <v>61</v>
      </c>
      <c r="D21" s="122" t="s">
        <v>59</v>
      </c>
      <c r="E21" s="71">
        <v>15</v>
      </c>
      <c r="F21" s="71">
        <v>10</v>
      </c>
      <c r="G21" s="71">
        <f t="shared" si="0"/>
        <v>150</v>
      </c>
      <c r="H21" s="71" t="s">
        <v>94</v>
      </c>
    </row>
    <row r="22" spans="1:8" ht="18.75" x14ac:dyDescent="0.3">
      <c r="A22" s="71">
        <v>1020</v>
      </c>
      <c r="B22" s="122" t="s">
        <v>95</v>
      </c>
      <c r="C22" s="122" t="s">
        <v>64</v>
      </c>
      <c r="D22" s="122" t="s">
        <v>62</v>
      </c>
      <c r="E22" s="71">
        <v>18</v>
      </c>
      <c r="F22" s="71">
        <v>25</v>
      </c>
      <c r="G22" s="71">
        <f t="shared" si="0"/>
        <v>450</v>
      </c>
      <c r="H22" s="73">
        <v>45293</v>
      </c>
    </row>
    <row r="23" spans="1:8" ht="18.75" x14ac:dyDescent="0.3">
      <c r="A23" s="71">
        <v>1021</v>
      </c>
      <c r="B23" s="122" t="s">
        <v>96</v>
      </c>
      <c r="C23" s="122" t="s">
        <v>55</v>
      </c>
      <c r="D23" s="122" t="s">
        <v>56</v>
      </c>
      <c r="E23" s="71">
        <v>9</v>
      </c>
      <c r="F23" s="71">
        <v>50</v>
      </c>
      <c r="G23" s="71">
        <f t="shared" si="0"/>
        <v>450</v>
      </c>
      <c r="H23" s="73">
        <v>45324</v>
      </c>
    </row>
    <row r="24" spans="1:8" ht="18.75" x14ac:dyDescent="0.3">
      <c r="A24" s="71">
        <v>1022</v>
      </c>
      <c r="B24" s="122" t="s">
        <v>97</v>
      </c>
      <c r="C24" s="122" t="s">
        <v>58</v>
      </c>
      <c r="D24" s="122" t="s">
        <v>66</v>
      </c>
      <c r="E24" s="71">
        <v>35</v>
      </c>
      <c r="F24" s="71">
        <v>5</v>
      </c>
      <c r="G24" s="71">
        <f t="shared" si="0"/>
        <v>175</v>
      </c>
      <c r="H24" s="73">
        <v>45353</v>
      </c>
    </row>
    <row r="25" spans="1:8" ht="18.75" x14ac:dyDescent="0.3">
      <c r="A25" s="71">
        <v>1023</v>
      </c>
      <c r="B25" s="122" t="s">
        <v>98</v>
      </c>
      <c r="C25" s="122" t="s">
        <v>61</v>
      </c>
      <c r="D25" s="122" t="s">
        <v>69</v>
      </c>
      <c r="E25" s="71">
        <v>30</v>
      </c>
      <c r="F25" s="71">
        <v>8</v>
      </c>
      <c r="G25" s="71">
        <f t="shared" si="0"/>
        <v>240</v>
      </c>
      <c r="H25" s="73">
        <v>45384</v>
      </c>
    </row>
    <row r="26" spans="1:8" ht="18.75" x14ac:dyDescent="0.3">
      <c r="A26" s="71">
        <v>1024</v>
      </c>
      <c r="B26" s="122" t="s">
        <v>99</v>
      </c>
      <c r="C26" s="122" t="s">
        <v>64</v>
      </c>
      <c r="D26" s="122" t="s">
        <v>56</v>
      </c>
      <c r="E26" s="71">
        <v>11</v>
      </c>
      <c r="F26" s="71">
        <v>50</v>
      </c>
      <c r="G26" s="71">
        <f t="shared" si="0"/>
        <v>550</v>
      </c>
      <c r="H26" s="73">
        <v>45445</v>
      </c>
    </row>
    <row r="27" spans="1:8" ht="18.75" x14ac:dyDescent="0.3">
      <c r="A27" s="71">
        <v>1025</v>
      </c>
      <c r="B27" s="122" t="s">
        <v>100</v>
      </c>
      <c r="C27" s="122" t="s">
        <v>55</v>
      </c>
      <c r="D27" s="122" t="s">
        <v>59</v>
      </c>
      <c r="E27" s="71">
        <v>14</v>
      </c>
      <c r="F27" s="71">
        <v>10</v>
      </c>
      <c r="G27" s="71">
        <f t="shared" si="0"/>
        <v>140</v>
      </c>
      <c r="H27" s="73">
        <v>45475</v>
      </c>
    </row>
    <row r="28" spans="1:8" ht="18.75" x14ac:dyDescent="0.3">
      <c r="A28" s="71">
        <v>1026</v>
      </c>
      <c r="B28" s="122" t="s">
        <v>101</v>
      </c>
      <c r="C28" s="122" t="s">
        <v>58</v>
      </c>
      <c r="D28" s="122" t="s">
        <v>62</v>
      </c>
      <c r="E28" s="71">
        <v>16</v>
      </c>
      <c r="F28" s="71">
        <v>25</v>
      </c>
      <c r="G28" s="71">
        <f t="shared" si="0"/>
        <v>400</v>
      </c>
      <c r="H28" s="73">
        <v>45506</v>
      </c>
    </row>
    <row r="29" spans="1:8" ht="18.75" x14ac:dyDescent="0.3">
      <c r="A29" s="71">
        <v>1027</v>
      </c>
      <c r="B29" s="122" t="s">
        <v>102</v>
      </c>
      <c r="C29" s="122" t="s">
        <v>61</v>
      </c>
      <c r="D29" s="122" t="s">
        <v>66</v>
      </c>
      <c r="E29" s="71">
        <v>22</v>
      </c>
      <c r="F29" s="71">
        <v>5</v>
      </c>
      <c r="G29" s="71">
        <f t="shared" si="0"/>
        <v>110</v>
      </c>
      <c r="H29" s="73">
        <v>45537</v>
      </c>
    </row>
    <row r="30" spans="1:8" ht="18.75" x14ac:dyDescent="0.3">
      <c r="A30" s="71">
        <v>1028</v>
      </c>
      <c r="B30" s="122" t="s">
        <v>103</v>
      </c>
      <c r="C30" s="122" t="s">
        <v>64</v>
      </c>
      <c r="D30" s="122" t="s">
        <v>69</v>
      </c>
      <c r="E30" s="71">
        <v>27</v>
      </c>
      <c r="F30" s="71">
        <v>8</v>
      </c>
      <c r="G30" s="71">
        <f t="shared" si="0"/>
        <v>216</v>
      </c>
      <c r="H30" s="73">
        <v>45567</v>
      </c>
    </row>
    <row r="31" spans="1:8" ht="18.75" x14ac:dyDescent="0.3">
      <c r="A31" s="71">
        <v>1029</v>
      </c>
      <c r="B31" s="122" t="s">
        <v>104</v>
      </c>
      <c r="C31" s="122" t="s">
        <v>55</v>
      </c>
      <c r="D31" s="122" t="s">
        <v>56</v>
      </c>
      <c r="E31" s="71">
        <v>13</v>
      </c>
      <c r="F31" s="71">
        <v>50</v>
      </c>
      <c r="G31" s="71">
        <f t="shared" si="0"/>
        <v>650</v>
      </c>
      <c r="H31" s="73">
        <v>45628</v>
      </c>
    </row>
    <row r="32" spans="1:8" ht="18.75" x14ac:dyDescent="0.3">
      <c r="A32" s="71">
        <v>1030</v>
      </c>
      <c r="B32" s="122" t="s">
        <v>105</v>
      </c>
      <c r="C32" s="122" t="s">
        <v>58</v>
      </c>
      <c r="D32" s="122" t="s">
        <v>59</v>
      </c>
      <c r="E32" s="71">
        <v>32</v>
      </c>
      <c r="F32" s="71">
        <v>10</v>
      </c>
      <c r="G32" s="71">
        <f t="shared" si="0"/>
        <v>320</v>
      </c>
      <c r="H32" s="71" t="s">
        <v>106</v>
      </c>
    </row>
    <row r="33" spans="1:8" ht="18.75" x14ac:dyDescent="0.3">
      <c r="A33" s="71">
        <v>1031</v>
      </c>
      <c r="B33" s="122" t="s">
        <v>107</v>
      </c>
      <c r="C33" s="122" t="s">
        <v>61</v>
      </c>
      <c r="D33" s="122" t="s">
        <v>62</v>
      </c>
      <c r="E33" s="71">
        <v>10</v>
      </c>
      <c r="F33" s="71">
        <v>25</v>
      </c>
      <c r="G33" s="71">
        <f t="shared" si="0"/>
        <v>250</v>
      </c>
      <c r="H33" s="71" t="s">
        <v>108</v>
      </c>
    </row>
    <row r="34" spans="1:8" ht="18.75" x14ac:dyDescent="0.3">
      <c r="A34" s="71">
        <v>1032</v>
      </c>
      <c r="B34" s="122" t="s">
        <v>109</v>
      </c>
      <c r="C34" s="122" t="s">
        <v>64</v>
      </c>
      <c r="D34" s="122" t="s">
        <v>66</v>
      </c>
      <c r="E34" s="71">
        <v>18</v>
      </c>
      <c r="F34" s="71">
        <v>5</v>
      </c>
      <c r="G34" s="71">
        <f t="shared" si="0"/>
        <v>90</v>
      </c>
      <c r="H34" s="71" t="s">
        <v>110</v>
      </c>
    </row>
    <row r="35" spans="1:8" ht="18.75" x14ac:dyDescent="0.3">
      <c r="A35" s="71">
        <v>1033</v>
      </c>
      <c r="B35" s="122" t="s">
        <v>111</v>
      </c>
      <c r="C35" s="122" t="s">
        <v>55</v>
      </c>
      <c r="D35" s="122" t="s">
        <v>69</v>
      </c>
      <c r="E35" s="71">
        <v>22</v>
      </c>
      <c r="F35" s="71">
        <v>8</v>
      </c>
      <c r="G35" s="71">
        <f t="shared" si="0"/>
        <v>176</v>
      </c>
      <c r="H35" s="71" t="s">
        <v>112</v>
      </c>
    </row>
    <row r="36" spans="1:8" ht="18.75" x14ac:dyDescent="0.3">
      <c r="A36" s="71">
        <v>1034</v>
      </c>
      <c r="B36" s="122" t="s">
        <v>113</v>
      </c>
      <c r="C36" s="122" t="s">
        <v>58</v>
      </c>
      <c r="D36" s="122" t="s">
        <v>56</v>
      </c>
      <c r="E36" s="71">
        <v>17</v>
      </c>
      <c r="F36" s="71">
        <v>50</v>
      </c>
      <c r="G36" s="71">
        <f t="shared" si="0"/>
        <v>850</v>
      </c>
      <c r="H36" s="71" t="s">
        <v>114</v>
      </c>
    </row>
    <row r="37" spans="1:8" ht="18.75" x14ac:dyDescent="0.3">
      <c r="A37" s="71">
        <v>1035</v>
      </c>
      <c r="B37" s="122" t="s">
        <v>115</v>
      </c>
      <c r="C37" s="122" t="s">
        <v>61</v>
      </c>
      <c r="D37" s="122" t="s">
        <v>59</v>
      </c>
      <c r="E37" s="71">
        <v>19</v>
      </c>
      <c r="F37" s="71">
        <v>10</v>
      </c>
      <c r="G37" s="71">
        <f t="shared" si="0"/>
        <v>190</v>
      </c>
      <c r="H37" s="71" t="s">
        <v>116</v>
      </c>
    </row>
    <row r="38" spans="1:8" ht="18.75" x14ac:dyDescent="0.3">
      <c r="A38" s="71">
        <v>1036</v>
      </c>
      <c r="B38" s="122" t="s">
        <v>117</v>
      </c>
      <c r="C38" s="122" t="s">
        <v>64</v>
      </c>
      <c r="D38" s="122" t="s">
        <v>62</v>
      </c>
      <c r="E38" s="71">
        <v>15</v>
      </c>
      <c r="F38" s="71">
        <v>25</v>
      </c>
      <c r="G38" s="71">
        <f t="shared" si="0"/>
        <v>375</v>
      </c>
      <c r="H38" s="71" t="s">
        <v>118</v>
      </c>
    </row>
    <row r="39" spans="1:8" ht="18.75" x14ac:dyDescent="0.3">
      <c r="A39" s="71">
        <v>1037</v>
      </c>
      <c r="B39" s="122" t="s">
        <v>119</v>
      </c>
      <c r="C39" s="122" t="s">
        <v>55</v>
      </c>
      <c r="D39" s="122" t="s">
        <v>66</v>
      </c>
      <c r="E39" s="71">
        <v>28</v>
      </c>
      <c r="F39" s="71">
        <v>5</v>
      </c>
      <c r="G39" s="71">
        <f t="shared" si="0"/>
        <v>140</v>
      </c>
      <c r="H39" s="71" t="s">
        <v>120</v>
      </c>
    </row>
    <row r="40" spans="1:8" ht="18.75" x14ac:dyDescent="0.3">
      <c r="A40" s="71">
        <v>1038</v>
      </c>
      <c r="B40" s="122" t="s">
        <v>121</v>
      </c>
      <c r="C40" s="122" t="s">
        <v>58</v>
      </c>
      <c r="D40" s="122" t="s">
        <v>69</v>
      </c>
      <c r="E40" s="71">
        <v>24</v>
      </c>
      <c r="F40" s="71">
        <v>8</v>
      </c>
      <c r="G40" s="71">
        <f t="shared" si="0"/>
        <v>192</v>
      </c>
      <c r="H40" s="71" t="s">
        <v>122</v>
      </c>
    </row>
    <row r="41" spans="1:8" ht="18.75" x14ac:dyDescent="0.3">
      <c r="A41" s="71">
        <v>1039</v>
      </c>
      <c r="B41" s="122" t="s">
        <v>123</v>
      </c>
      <c r="C41" s="122" t="s">
        <v>61</v>
      </c>
      <c r="D41" s="122" t="s">
        <v>56</v>
      </c>
      <c r="E41" s="71">
        <v>16</v>
      </c>
      <c r="F41" s="71">
        <v>50</v>
      </c>
      <c r="G41" s="71">
        <f t="shared" si="0"/>
        <v>800</v>
      </c>
      <c r="H41" s="71" t="s">
        <v>124</v>
      </c>
    </row>
    <row r="42" spans="1:8" ht="18.75" x14ac:dyDescent="0.3">
      <c r="A42" s="71">
        <v>1040</v>
      </c>
      <c r="B42" s="122" t="s">
        <v>125</v>
      </c>
      <c r="C42" s="122" t="s">
        <v>64</v>
      </c>
      <c r="D42" s="122" t="s">
        <v>59</v>
      </c>
      <c r="E42" s="71">
        <v>27</v>
      </c>
      <c r="F42" s="71">
        <v>10</v>
      </c>
      <c r="G42" s="71">
        <f t="shared" si="0"/>
        <v>270</v>
      </c>
      <c r="H42" s="71" t="s">
        <v>126</v>
      </c>
    </row>
    <row r="43" spans="1:8" ht="18.75" x14ac:dyDescent="0.3">
      <c r="A43" s="71">
        <v>1041</v>
      </c>
      <c r="B43" s="122" t="s">
        <v>127</v>
      </c>
      <c r="C43" s="122" t="s">
        <v>55</v>
      </c>
      <c r="D43" s="122" t="s">
        <v>62</v>
      </c>
      <c r="E43" s="71">
        <v>21</v>
      </c>
      <c r="F43" s="71">
        <v>25</v>
      </c>
      <c r="G43" s="71">
        <f t="shared" si="0"/>
        <v>525</v>
      </c>
      <c r="H43" s="71" t="s">
        <v>128</v>
      </c>
    </row>
    <row r="44" spans="1:8" ht="18.75" x14ac:dyDescent="0.3">
      <c r="A44" s="71">
        <v>1042</v>
      </c>
      <c r="B44" s="122" t="s">
        <v>129</v>
      </c>
      <c r="C44" s="122" t="s">
        <v>58</v>
      </c>
      <c r="D44" s="122" t="s">
        <v>66</v>
      </c>
      <c r="E44" s="71">
        <v>30</v>
      </c>
      <c r="F44" s="71">
        <v>5</v>
      </c>
      <c r="G44" s="71">
        <f t="shared" si="0"/>
        <v>150</v>
      </c>
      <c r="H44" s="71" t="s">
        <v>130</v>
      </c>
    </row>
    <row r="45" spans="1:8" ht="18.75" x14ac:dyDescent="0.3">
      <c r="A45" s="71">
        <v>1043</v>
      </c>
      <c r="B45" s="122" t="s">
        <v>131</v>
      </c>
      <c r="C45" s="122" t="s">
        <v>61</v>
      </c>
      <c r="D45" s="122" t="s">
        <v>69</v>
      </c>
      <c r="E45" s="71">
        <v>26</v>
      </c>
      <c r="F45" s="71">
        <v>8</v>
      </c>
      <c r="G45" s="71">
        <f t="shared" si="0"/>
        <v>208</v>
      </c>
      <c r="H45" s="73">
        <v>45294</v>
      </c>
    </row>
    <row r="46" spans="1:8" ht="18.75" x14ac:dyDescent="0.3">
      <c r="A46" s="71">
        <v>1044</v>
      </c>
      <c r="B46" s="122" t="s">
        <v>132</v>
      </c>
      <c r="C46" s="122" t="s">
        <v>64</v>
      </c>
      <c r="D46" s="122" t="s">
        <v>56</v>
      </c>
      <c r="E46" s="71">
        <v>14</v>
      </c>
      <c r="F46" s="71">
        <v>50</v>
      </c>
      <c r="G46" s="71">
        <f t="shared" si="0"/>
        <v>700</v>
      </c>
      <c r="H46" s="73">
        <v>45325</v>
      </c>
    </row>
    <row r="47" spans="1:8" ht="18.75" x14ac:dyDescent="0.3">
      <c r="A47" s="71">
        <v>1045</v>
      </c>
      <c r="B47" s="122" t="s">
        <v>133</v>
      </c>
      <c r="C47" s="122" t="s">
        <v>55</v>
      </c>
      <c r="D47" s="122" t="s">
        <v>59</v>
      </c>
      <c r="E47" s="71">
        <v>20</v>
      </c>
      <c r="F47" s="71">
        <v>10</v>
      </c>
      <c r="G47" s="71">
        <f t="shared" si="0"/>
        <v>200</v>
      </c>
      <c r="H47" s="73">
        <v>45354</v>
      </c>
    </row>
    <row r="48" spans="1:8" ht="18.75" x14ac:dyDescent="0.3">
      <c r="A48" s="71">
        <v>1046</v>
      </c>
      <c r="B48" s="122" t="s">
        <v>134</v>
      </c>
      <c r="C48" s="122" t="s">
        <v>58</v>
      </c>
      <c r="D48" s="122" t="s">
        <v>62</v>
      </c>
      <c r="E48" s="71">
        <v>17</v>
      </c>
      <c r="F48" s="71">
        <v>25</v>
      </c>
      <c r="G48" s="71">
        <f t="shared" si="0"/>
        <v>425</v>
      </c>
      <c r="H48" s="73">
        <v>45385</v>
      </c>
    </row>
    <row r="49" spans="1:11" ht="18.75" x14ac:dyDescent="0.3">
      <c r="A49" s="71">
        <v>1047</v>
      </c>
      <c r="B49" s="122" t="s">
        <v>135</v>
      </c>
      <c r="C49" s="122" t="s">
        <v>61</v>
      </c>
      <c r="D49" s="122" t="s">
        <v>66</v>
      </c>
      <c r="E49" s="71">
        <v>19</v>
      </c>
      <c r="F49" s="71">
        <v>5</v>
      </c>
      <c r="G49" s="71">
        <f t="shared" si="0"/>
        <v>95</v>
      </c>
      <c r="H49" s="73">
        <v>45415</v>
      </c>
    </row>
    <row r="50" spans="1:11" ht="18.75" x14ac:dyDescent="0.3">
      <c r="A50" s="71">
        <v>1048</v>
      </c>
      <c r="B50" s="122" t="s">
        <v>136</v>
      </c>
      <c r="C50" s="122" t="s">
        <v>64</v>
      </c>
      <c r="D50" s="122" t="s">
        <v>69</v>
      </c>
      <c r="E50" s="71">
        <v>32</v>
      </c>
      <c r="F50" s="71">
        <v>8</v>
      </c>
      <c r="G50" s="71">
        <f t="shared" si="0"/>
        <v>256</v>
      </c>
      <c r="H50" s="73">
        <v>45446</v>
      </c>
    </row>
    <row r="51" spans="1:11" ht="18.75" x14ac:dyDescent="0.3">
      <c r="A51" s="71">
        <v>1049</v>
      </c>
      <c r="B51" s="122" t="s">
        <v>137</v>
      </c>
      <c r="C51" s="122" t="s">
        <v>55</v>
      </c>
      <c r="D51" s="122" t="s">
        <v>56</v>
      </c>
      <c r="E51" s="71">
        <v>12</v>
      </c>
      <c r="F51" s="71">
        <v>50</v>
      </c>
      <c r="G51" s="71">
        <f t="shared" si="0"/>
        <v>600</v>
      </c>
      <c r="H51" s="73">
        <v>45476</v>
      </c>
      <c r="K51" t="s">
        <v>148</v>
      </c>
    </row>
    <row r="52" spans="1:11" ht="18.75" x14ac:dyDescent="0.3">
      <c r="A52" s="71">
        <v>1050</v>
      </c>
      <c r="B52" s="122" t="s">
        <v>138</v>
      </c>
      <c r="C52" s="122" t="s">
        <v>58</v>
      </c>
      <c r="D52" s="122" t="s">
        <v>59</v>
      </c>
      <c r="E52" s="71">
        <v>25</v>
      </c>
      <c r="F52" s="71">
        <v>10</v>
      </c>
      <c r="G52" s="71">
        <f t="shared" si="0"/>
        <v>250</v>
      </c>
      <c r="H52" s="73">
        <v>45507</v>
      </c>
    </row>
    <row r="53" spans="1:11" ht="19.5" thickBot="1" x14ac:dyDescent="0.35">
      <c r="A53" s="123"/>
      <c r="B53" s="123"/>
      <c r="C53" s="123"/>
      <c r="D53" s="123"/>
      <c r="E53" s="123"/>
      <c r="F53" s="123"/>
      <c r="G53" s="124"/>
      <c r="H53" s="123"/>
    </row>
    <row r="54" spans="1:11" ht="27" thickBot="1" x14ac:dyDescent="0.45">
      <c r="G54" s="125">
        <f>SUM(G3:G53)</f>
        <v>16543</v>
      </c>
    </row>
    <row r="56" spans="1:11" ht="15.75" thickBot="1" x14ac:dyDescent="0.3"/>
    <row r="57" spans="1:11" ht="26.25" x14ac:dyDescent="0.4">
      <c r="A57" s="127" t="s">
        <v>149</v>
      </c>
      <c r="B57" s="128" t="s">
        <v>50</v>
      </c>
      <c r="C57" s="129" t="s">
        <v>142</v>
      </c>
    </row>
    <row r="58" spans="1:11" ht="26.25" x14ac:dyDescent="0.4">
      <c r="A58" s="130">
        <v>1</v>
      </c>
      <c r="B58" s="131" t="s">
        <v>69</v>
      </c>
      <c r="C58" s="132">
        <f>G9+G14+G19+G25+G30+G35+G40+G45+G50</f>
        <v>1928</v>
      </c>
    </row>
    <row r="59" spans="1:11" ht="26.25" x14ac:dyDescent="0.4">
      <c r="A59" s="130">
        <v>2</v>
      </c>
      <c r="B59" s="131" t="s">
        <v>62</v>
      </c>
      <c r="C59" s="132">
        <f>G5+G11+G17+G22+G28+G33+G38+G43+G48</f>
        <v>3650</v>
      </c>
    </row>
    <row r="60" spans="1:11" ht="26.25" x14ac:dyDescent="0.4">
      <c r="A60" s="130">
        <v>3</v>
      </c>
      <c r="B60" s="131" t="s">
        <v>56</v>
      </c>
      <c r="C60" s="132">
        <f>G3+G6+G8+G12+G15+G20+G23+G26+G31+G36+G41+G46+G51</f>
        <v>7550</v>
      </c>
    </row>
    <row r="61" spans="1:11" ht="26.25" x14ac:dyDescent="0.4">
      <c r="A61" s="130">
        <v>4</v>
      </c>
      <c r="B61" s="131" t="s">
        <v>59</v>
      </c>
      <c r="C61" s="132">
        <f>G4+G10+G16+G21+G27+G32+G37+G42+G47+G52</f>
        <v>2180</v>
      </c>
    </row>
    <row r="62" spans="1:11" ht="27" thickBot="1" x14ac:dyDescent="0.45">
      <c r="A62" s="130">
        <v>5</v>
      </c>
      <c r="B62" s="131" t="s">
        <v>66</v>
      </c>
      <c r="C62" s="133">
        <f>G7+G13+G18+G24+G29+G34+G39+G44+G49</f>
        <v>1235</v>
      </c>
    </row>
    <row r="63" spans="1:11" ht="27" thickBot="1" x14ac:dyDescent="0.45">
      <c r="A63" s="134"/>
      <c r="B63" s="135"/>
      <c r="C63" s="136">
        <f>SUM(C58:C62)</f>
        <v>16543</v>
      </c>
    </row>
    <row r="72" spans="1:11" ht="21" x14ac:dyDescent="0.35">
      <c r="A72" s="126" t="s">
        <v>150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</row>
  </sheetData>
  <mergeCells count="2">
    <mergeCell ref="A1:I1"/>
    <mergeCell ref="A72:K72"/>
  </mergeCell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topLeftCell="A46" workbookViewId="0">
      <selection activeCell="D83" sqref="D83"/>
    </sheetView>
  </sheetViews>
  <sheetFormatPr defaultRowHeight="15" x14ac:dyDescent="0.25"/>
  <cols>
    <col min="1" max="1" width="10.42578125" bestFit="1" customWidth="1"/>
    <col min="2" max="2" width="19.28515625" bestFit="1" customWidth="1"/>
    <col min="4" max="4" width="12.140625" bestFit="1" customWidth="1"/>
    <col min="5" max="5" width="11.28515625" bestFit="1" customWidth="1"/>
    <col min="6" max="6" width="11.85546875" bestFit="1" customWidth="1"/>
    <col min="7" max="7" width="21.28515625" bestFit="1" customWidth="1"/>
    <col min="8" max="8" width="13.5703125" bestFit="1" customWidth="1"/>
    <col min="9" max="10" width="13.5703125" customWidth="1"/>
  </cols>
  <sheetData>
    <row r="1" spans="1:10" ht="26.25" x14ac:dyDescent="0.4">
      <c r="A1" s="141" t="s">
        <v>151</v>
      </c>
      <c r="B1" s="141"/>
      <c r="C1" s="141"/>
      <c r="D1" s="141"/>
      <c r="E1" s="141"/>
      <c r="F1" s="141"/>
      <c r="G1" s="141"/>
      <c r="H1" s="141"/>
      <c r="I1" s="140"/>
      <c r="J1" s="140"/>
    </row>
    <row r="2" spans="1:10" ht="18.75" x14ac:dyDescent="0.3">
      <c r="A2" s="121" t="s">
        <v>47</v>
      </c>
      <c r="B2" s="121" t="s">
        <v>48</v>
      </c>
      <c r="C2" s="121" t="s">
        <v>49</v>
      </c>
      <c r="D2" s="121" t="s">
        <v>50</v>
      </c>
      <c r="E2" s="121" t="s">
        <v>51</v>
      </c>
      <c r="F2" s="121" t="s">
        <v>52</v>
      </c>
      <c r="G2" s="121" t="s">
        <v>53</v>
      </c>
      <c r="H2" s="121" t="s">
        <v>147</v>
      </c>
      <c r="I2" s="139"/>
      <c r="J2" s="139"/>
    </row>
    <row r="3" spans="1:10" ht="18.75" x14ac:dyDescent="0.3">
      <c r="A3" s="71">
        <v>1001</v>
      </c>
      <c r="B3" s="122" t="s">
        <v>54</v>
      </c>
      <c r="C3" s="122" t="s">
        <v>55</v>
      </c>
      <c r="D3" s="122" t="s">
        <v>56</v>
      </c>
      <c r="E3" s="71">
        <v>10</v>
      </c>
      <c r="F3" s="71">
        <v>50</v>
      </c>
      <c r="G3" s="138">
        <v>45296</v>
      </c>
      <c r="H3" s="123">
        <v>500</v>
      </c>
      <c r="I3" s="137"/>
      <c r="J3" s="137"/>
    </row>
    <row r="4" spans="1:10" ht="18.75" x14ac:dyDescent="0.3">
      <c r="A4" s="71">
        <v>1002</v>
      </c>
      <c r="B4" s="122" t="s">
        <v>57</v>
      </c>
      <c r="C4" s="122" t="s">
        <v>58</v>
      </c>
      <c r="D4" s="122" t="s">
        <v>59</v>
      </c>
      <c r="E4" s="71">
        <v>20</v>
      </c>
      <c r="F4" s="71">
        <v>10</v>
      </c>
      <c r="G4" s="138">
        <v>45297</v>
      </c>
      <c r="H4" s="123">
        <v>200</v>
      </c>
      <c r="I4" s="137"/>
      <c r="J4" s="137"/>
    </row>
    <row r="5" spans="1:10" ht="18.75" x14ac:dyDescent="0.3">
      <c r="A5" s="71">
        <v>1003</v>
      </c>
      <c r="B5" s="122" t="s">
        <v>60</v>
      </c>
      <c r="C5" s="122" t="s">
        <v>61</v>
      </c>
      <c r="D5" s="122" t="s">
        <v>62</v>
      </c>
      <c r="E5" s="71">
        <v>15</v>
      </c>
      <c r="F5" s="71">
        <v>25</v>
      </c>
      <c r="G5" s="138">
        <v>45298</v>
      </c>
      <c r="H5" s="123">
        <v>375</v>
      </c>
      <c r="I5" s="137"/>
      <c r="J5" s="137"/>
    </row>
    <row r="6" spans="1:10" ht="18.75" x14ac:dyDescent="0.3">
      <c r="A6" s="71">
        <v>1004</v>
      </c>
      <c r="B6" s="122" t="s">
        <v>63</v>
      </c>
      <c r="C6" s="122" t="s">
        <v>64</v>
      </c>
      <c r="D6" s="122" t="s">
        <v>56</v>
      </c>
      <c r="E6" s="71">
        <v>5</v>
      </c>
      <c r="F6" s="71">
        <v>50</v>
      </c>
      <c r="G6" s="138">
        <v>45299</v>
      </c>
      <c r="H6" s="123">
        <v>250</v>
      </c>
      <c r="I6" s="137"/>
      <c r="J6" s="137"/>
    </row>
    <row r="7" spans="1:10" ht="18.75" x14ac:dyDescent="0.3">
      <c r="A7" s="71">
        <v>1005</v>
      </c>
      <c r="B7" s="122" t="s">
        <v>65</v>
      </c>
      <c r="C7" s="122" t="s">
        <v>55</v>
      </c>
      <c r="D7" s="122" t="s">
        <v>66</v>
      </c>
      <c r="E7" s="71">
        <v>30</v>
      </c>
      <c r="F7" s="71">
        <v>5</v>
      </c>
      <c r="G7" s="138">
        <v>45301</v>
      </c>
      <c r="H7" s="123">
        <v>150</v>
      </c>
      <c r="I7" s="137"/>
      <c r="J7" s="137"/>
    </row>
    <row r="8" spans="1:10" ht="18.75" x14ac:dyDescent="0.3">
      <c r="A8" s="71">
        <v>1006</v>
      </c>
      <c r="B8" s="122" t="s">
        <v>67</v>
      </c>
      <c r="C8" s="122" t="s">
        <v>58</v>
      </c>
      <c r="D8" s="122" t="s">
        <v>56</v>
      </c>
      <c r="E8" s="71">
        <v>12</v>
      </c>
      <c r="F8" s="71">
        <v>50</v>
      </c>
      <c r="G8" s="138">
        <v>45302</v>
      </c>
      <c r="H8" s="123">
        <v>600</v>
      </c>
      <c r="I8" s="137"/>
      <c r="J8" s="137"/>
    </row>
    <row r="9" spans="1:10" ht="18.75" x14ac:dyDescent="0.3">
      <c r="A9" s="71">
        <v>1007</v>
      </c>
      <c r="B9" s="122" t="s">
        <v>68</v>
      </c>
      <c r="C9" s="122" t="s">
        <v>61</v>
      </c>
      <c r="D9" s="122" t="s">
        <v>69</v>
      </c>
      <c r="E9" s="71">
        <v>25</v>
      </c>
      <c r="F9" s="71">
        <v>8</v>
      </c>
      <c r="G9" s="138">
        <v>45304</v>
      </c>
      <c r="H9" s="123">
        <v>200</v>
      </c>
      <c r="I9" s="137"/>
      <c r="J9" s="137"/>
    </row>
    <row r="10" spans="1:10" ht="18.75" x14ac:dyDescent="0.3">
      <c r="A10" s="71">
        <v>1008</v>
      </c>
      <c r="B10" s="122" t="s">
        <v>71</v>
      </c>
      <c r="C10" s="122" t="s">
        <v>64</v>
      </c>
      <c r="D10" s="122" t="s">
        <v>59</v>
      </c>
      <c r="E10" s="71">
        <v>18</v>
      </c>
      <c r="F10" s="71">
        <v>10</v>
      </c>
      <c r="G10" s="138">
        <v>45306</v>
      </c>
      <c r="H10" s="123">
        <v>180</v>
      </c>
      <c r="I10" s="137"/>
      <c r="J10" s="137"/>
    </row>
    <row r="11" spans="1:10" ht="18.75" x14ac:dyDescent="0.3">
      <c r="A11" s="71">
        <v>1009</v>
      </c>
      <c r="B11" s="122" t="s">
        <v>73</v>
      </c>
      <c r="C11" s="122" t="s">
        <v>55</v>
      </c>
      <c r="D11" s="122" t="s">
        <v>62</v>
      </c>
      <c r="E11" s="71">
        <v>22</v>
      </c>
      <c r="F11" s="71">
        <v>25</v>
      </c>
      <c r="G11" s="138">
        <v>45308</v>
      </c>
      <c r="H11" s="123">
        <v>550</v>
      </c>
      <c r="I11" s="137"/>
      <c r="J11" s="137"/>
    </row>
    <row r="12" spans="1:10" ht="18.75" x14ac:dyDescent="0.3">
      <c r="A12" s="71">
        <v>1010</v>
      </c>
      <c r="B12" s="122" t="s">
        <v>75</v>
      </c>
      <c r="C12" s="122" t="s">
        <v>58</v>
      </c>
      <c r="D12" s="122" t="s">
        <v>56</v>
      </c>
      <c r="E12" s="71">
        <v>8</v>
      </c>
      <c r="F12" s="71">
        <v>50</v>
      </c>
      <c r="G12" s="138">
        <v>45309</v>
      </c>
      <c r="H12" s="123">
        <v>400</v>
      </c>
      <c r="I12" s="137"/>
      <c r="J12" s="137"/>
    </row>
    <row r="13" spans="1:10" ht="18.75" x14ac:dyDescent="0.3">
      <c r="A13" s="71">
        <v>1011</v>
      </c>
      <c r="B13" s="122" t="s">
        <v>77</v>
      </c>
      <c r="C13" s="122" t="s">
        <v>61</v>
      </c>
      <c r="D13" s="122" t="s">
        <v>66</v>
      </c>
      <c r="E13" s="71">
        <v>40</v>
      </c>
      <c r="F13" s="71">
        <v>5</v>
      </c>
      <c r="G13" s="138">
        <v>45310</v>
      </c>
      <c r="H13" s="123">
        <v>200</v>
      </c>
      <c r="I13" s="137"/>
      <c r="J13" s="137"/>
    </row>
    <row r="14" spans="1:10" ht="18.75" x14ac:dyDescent="0.3">
      <c r="A14" s="71">
        <v>1012</v>
      </c>
      <c r="B14" s="122" t="s">
        <v>79</v>
      </c>
      <c r="C14" s="122" t="s">
        <v>64</v>
      </c>
      <c r="D14" s="122" t="s">
        <v>69</v>
      </c>
      <c r="E14" s="71">
        <v>35</v>
      </c>
      <c r="F14" s="71">
        <v>8</v>
      </c>
      <c r="G14" s="138">
        <v>45311</v>
      </c>
      <c r="H14" s="123">
        <v>280</v>
      </c>
      <c r="I14" s="137"/>
      <c r="J14" s="137"/>
    </row>
    <row r="15" spans="1:10" ht="18.75" x14ac:dyDescent="0.3">
      <c r="A15" s="71">
        <v>1013</v>
      </c>
      <c r="B15" s="122" t="s">
        <v>81</v>
      </c>
      <c r="C15" s="122" t="s">
        <v>55</v>
      </c>
      <c r="D15" s="122" t="s">
        <v>56</v>
      </c>
      <c r="E15" s="71">
        <v>14</v>
      </c>
      <c r="F15" s="71">
        <v>50</v>
      </c>
      <c r="G15" s="138">
        <v>45313</v>
      </c>
      <c r="H15" s="123">
        <v>700</v>
      </c>
      <c r="I15" s="137"/>
      <c r="J15" s="137"/>
    </row>
    <row r="16" spans="1:10" ht="18.75" x14ac:dyDescent="0.3">
      <c r="A16" s="71">
        <v>1014</v>
      </c>
      <c r="B16" s="122" t="s">
        <v>83</v>
      </c>
      <c r="C16" s="122" t="s">
        <v>58</v>
      </c>
      <c r="D16" s="122" t="s">
        <v>59</v>
      </c>
      <c r="E16" s="71">
        <v>28</v>
      </c>
      <c r="F16" s="71">
        <v>10</v>
      </c>
      <c r="G16" s="138">
        <v>45314</v>
      </c>
      <c r="H16" s="123">
        <v>280</v>
      </c>
      <c r="I16" s="137"/>
      <c r="J16" s="137"/>
    </row>
    <row r="17" spans="1:10" ht="18.75" x14ac:dyDescent="0.3">
      <c r="A17" s="71">
        <v>1015</v>
      </c>
      <c r="B17" s="122" t="s">
        <v>85</v>
      </c>
      <c r="C17" s="122" t="s">
        <v>61</v>
      </c>
      <c r="D17" s="122" t="s">
        <v>62</v>
      </c>
      <c r="E17" s="71">
        <v>12</v>
      </c>
      <c r="F17" s="71">
        <v>25</v>
      </c>
      <c r="G17" s="138">
        <v>45315</v>
      </c>
      <c r="H17" s="123">
        <v>300</v>
      </c>
      <c r="I17" s="137"/>
      <c r="J17" s="137"/>
    </row>
    <row r="18" spans="1:10" ht="18.75" x14ac:dyDescent="0.3">
      <c r="A18" s="71">
        <v>1016</v>
      </c>
      <c r="B18" s="122" t="s">
        <v>87</v>
      </c>
      <c r="C18" s="122" t="s">
        <v>64</v>
      </c>
      <c r="D18" s="122" t="s">
        <v>66</v>
      </c>
      <c r="E18" s="71">
        <v>25</v>
      </c>
      <c r="F18" s="71">
        <v>5</v>
      </c>
      <c r="G18" s="138">
        <v>45317</v>
      </c>
      <c r="H18" s="123">
        <v>125</v>
      </c>
      <c r="I18" s="137"/>
      <c r="J18" s="137"/>
    </row>
    <row r="19" spans="1:10" ht="18.75" x14ac:dyDescent="0.3">
      <c r="A19" s="71">
        <v>1017</v>
      </c>
      <c r="B19" s="122" t="s">
        <v>89</v>
      </c>
      <c r="C19" s="122" t="s">
        <v>55</v>
      </c>
      <c r="D19" s="122" t="s">
        <v>69</v>
      </c>
      <c r="E19" s="71">
        <v>20</v>
      </c>
      <c r="F19" s="71">
        <v>8</v>
      </c>
      <c r="G19" s="138">
        <v>45319</v>
      </c>
      <c r="H19" s="123">
        <v>160</v>
      </c>
      <c r="I19" s="137"/>
      <c r="J19" s="137"/>
    </row>
    <row r="20" spans="1:10" ht="18.75" x14ac:dyDescent="0.3">
      <c r="A20" s="71">
        <v>1018</v>
      </c>
      <c r="B20" s="122" t="s">
        <v>91</v>
      </c>
      <c r="C20" s="122" t="s">
        <v>58</v>
      </c>
      <c r="D20" s="122" t="s">
        <v>56</v>
      </c>
      <c r="E20" s="71">
        <v>10</v>
      </c>
      <c r="F20" s="71">
        <v>50</v>
      </c>
      <c r="G20" s="138">
        <v>45320</v>
      </c>
      <c r="H20" s="123">
        <v>500</v>
      </c>
      <c r="I20" s="137"/>
      <c r="J20" s="137"/>
    </row>
    <row r="21" spans="1:10" ht="18.75" x14ac:dyDescent="0.3">
      <c r="A21" s="71">
        <v>1019</v>
      </c>
      <c r="B21" s="122" t="s">
        <v>93</v>
      </c>
      <c r="C21" s="122" t="s">
        <v>61</v>
      </c>
      <c r="D21" s="122" t="s">
        <v>59</v>
      </c>
      <c r="E21" s="71">
        <v>15</v>
      </c>
      <c r="F21" s="71">
        <v>10</v>
      </c>
      <c r="G21" s="138">
        <v>45321</v>
      </c>
      <c r="H21" s="123">
        <v>150</v>
      </c>
      <c r="I21" s="137"/>
      <c r="J21" s="137"/>
    </row>
    <row r="22" spans="1:10" ht="18.75" x14ac:dyDescent="0.3">
      <c r="A22" s="71">
        <v>1020</v>
      </c>
      <c r="B22" s="122" t="s">
        <v>95</v>
      </c>
      <c r="C22" s="122" t="s">
        <v>64</v>
      </c>
      <c r="D22" s="122" t="s">
        <v>62</v>
      </c>
      <c r="E22" s="71">
        <v>18</v>
      </c>
      <c r="F22" s="71">
        <v>25</v>
      </c>
      <c r="G22" s="138">
        <v>45323</v>
      </c>
      <c r="H22" s="123">
        <v>450</v>
      </c>
      <c r="I22" s="137"/>
      <c r="J22" s="137"/>
    </row>
    <row r="23" spans="1:10" ht="18.75" x14ac:dyDescent="0.3">
      <c r="A23" s="71">
        <v>1021</v>
      </c>
      <c r="B23" s="122" t="s">
        <v>96</v>
      </c>
      <c r="C23" s="122" t="s">
        <v>55</v>
      </c>
      <c r="D23" s="122" t="s">
        <v>56</v>
      </c>
      <c r="E23" s="71">
        <v>9</v>
      </c>
      <c r="F23" s="71">
        <v>50</v>
      </c>
      <c r="G23" s="138">
        <v>45324</v>
      </c>
      <c r="H23" s="123">
        <v>450</v>
      </c>
      <c r="I23" s="137"/>
      <c r="J23" s="137"/>
    </row>
    <row r="24" spans="1:10" ht="18.75" x14ac:dyDescent="0.3">
      <c r="A24" s="71">
        <v>1022</v>
      </c>
      <c r="B24" s="122" t="s">
        <v>97</v>
      </c>
      <c r="C24" s="122" t="s">
        <v>58</v>
      </c>
      <c r="D24" s="122" t="s">
        <v>66</v>
      </c>
      <c r="E24" s="71">
        <v>35</v>
      </c>
      <c r="F24" s="71">
        <v>5</v>
      </c>
      <c r="G24" s="138">
        <v>45325</v>
      </c>
      <c r="H24" s="123">
        <v>175</v>
      </c>
      <c r="I24" s="137"/>
      <c r="J24" s="137"/>
    </row>
    <row r="25" spans="1:10" ht="18.75" x14ac:dyDescent="0.3">
      <c r="A25" s="71">
        <v>1023</v>
      </c>
      <c r="B25" s="122" t="s">
        <v>98</v>
      </c>
      <c r="C25" s="122" t="s">
        <v>61</v>
      </c>
      <c r="D25" s="122" t="s">
        <v>69</v>
      </c>
      <c r="E25" s="71">
        <v>30</v>
      </c>
      <c r="F25" s="71">
        <v>8</v>
      </c>
      <c r="G25" s="138">
        <v>45326</v>
      </c>
      <c r="H25" s="123">
        <v>240</v>
      </c>
      <c r="I25" s="137"/>
      <c r="J25" s="137"/>
    </row>
    <row r="26" spans="1:10" ht="18.75" x14ac:dyDescent="0.3">
      <c r="A26" s="71">
        <v>1024</v>
      </c>
      <c r="B26" s="122" t="s">
        <v>99</v>
      </c>
      <c r="C26" s="122" t="s">
        <v>64</v>
      </c>
      <c r="D26" s="122" t="s">
        <v>56</v>
      </c>
      <c r="E26" s="71">
        <v>11</v>
      </c>
      <c r="F26" s="71">
        <v>50</v>
      </c>
      <c r="G26" s="138">
        <v>45328</v>
      </c>
      <c r="H26" s="123">
        <v>550</v>
      </c>
      <c r="I26" s="137"/>
      <c r="J26" s="137"/>
    </row>
    <row r="27" spans="1:10" ht="18.75" x14ac:dyDescent="0.3">
      <c r="A27" s="71">
        <v>1025</v>
      </c>
      <c r="B27" s="122" t="s">
        <v>100</v>
      </c>
      <c r="C27" s="122" t="s">
        <v>55</v>
      </c>
      <c r="D27" s="122" t="s">
        <v>59</v>
      </c>
      <c r="E27" s="71">
        <v>14</v>
      </c>
      <c r="F27" s="71">
        <v>10</v>
      </c>
      <c r="G27" s="138">
        <v>45329</v>
      </c>
      <c r="H27" s="123">
        <v>140</v>
      </c>
      <c r="I27" s="137"/>
      <c r="J27" s="137"/>
    </row>
    <row r="28" spans="1:10" ht="18.75" x14ac:dyDescent="0.3">
      <c r="A28" s="71">
        <v>1026</v>
      </c>
      <c r="B28" s="122" t="s">
        <v>101</v>
      </c>
      <c r="C28" s="122" t="s">
        <v>58</v>
      </c>
      <c r="D28" s="122" t="s">
        <v>62</v>
      </c>
      <c r="E28" s="71">
        <v>16</v>
      </c>
      <c r="F28" s="71">
        <v>25</v>
      </c>
      <c r="G28" s="138">
        <v>45330</v>
      </c>
      <c r="H28" s="123">
        <v>400</v>
      </c>
      <c r="I28" s="137"/>
      <c r="J28" s="137"/>
    </row>
    <row r="29" spans="1:10" ht="18.75" x14ac:dyDescent="0.3">
      <c r="A29" s="71">
        <v>1027</v>
      </c>
      <c r="B29" s="122" t="s">
        <v>102</v>
      </c>
      <c r="C29" s="122" t="s">
        <v>61</v>
      </c>
      <c r="D29" s="122" t="s">
        <v>66</v>
      </c>
      <c r="E29" s="71">
        <v>22</v>
      </c>
      <c r="F29" s="71">
        <v>5</v>
      </c>
      <c r="G29" s="138">
        <v>45331</v>
      </c>
      <c r="H29" s="123">
        <v>110</v>
      </c>
      <c r="I29" s="137"/>
      <c r="J29" s="137"/>
    </row>
    <row r="30" spans="1:10" ht="18.75" x14ac:dyDescent="0.3">
      <c r="A30" s="71">
        <v>1028</v>
      </c>
      <c r="B30" s="122" t="s">
        <v>103</v>
      </c>
      <c r="C30" s="122" t="s">
        <v>64</v>
      </c>
      <c r="D30" s="122" t="s">
        <v>69</v>
      </c>
      <c r="E30" s="71">
        <v>27</v>
      </c>
      <c r="F30" s="71">
        <v>8</v>
      </c>
      <c r="G30" s="138">
        <v>45332</v>
      </c>
      <c r="H30" s="123">
        <v>216</v>
      </c>
      <c r="I30" s="137"/>
      <c r="J30" s="137"/>
    </row>
    <row r="31" spans="1:10" ht="18.75" x14ac:dyDescent="0.3">
      <c r="A31" s="71">
        <v>1029</v>
      </c>
      <c r="B31" s="122" t="s">
        <v>104</v>
      </c>
      <c r="C31" s="122" t="s">
        <v>55</v>
      </c>
      <c r="D31" s="122" t="s">
        <v>56</v>
      </c>
      <c r="E31" s="71">
        <v>13</v>
      </c>
      <c r="F31" s="71">
        <v>50</v>
      </c>
      <c r="G31" s="138">
        <v>45334</v>
      </c>
      <c r="H31" s="123">
        <v>650</v>
      </c>
      <c r="I31" s="137"/>
      <c r="J31" s="137"/>
    </row>
    <row r="32" spans="1:10" ht="18.75" x14ac:dyDescent="0.3">
      <c r="A32" s="71">
        <v>1030</v>
      </c>
      <c r="B32" s="122" t="s">
        <v>105</v>
      </c>
      <c r="C32" s="122" t="s">
        <v>58</v>
      </c>
      <c r="D32" s="122" t="s">
        <v>59</v>
      </c>
      <c r="E32" s="71">
        <v>32</v>
      </c>
      <c r="F32" s="71">
        <v>10</v>
      </c>
      <c r="G32" s="138">
        <v>45335</v>
      </c>
      <c r="H32" s="123">
        <v>320</v>
      </c>
      <c r="I32" s="137"/>
      <c r="J32" s="137"/>
    </row>
    <row r="33" spans="1:10" ht="18.75" x14ac:dyDescent="0.3">
      <c r="A33" s="71">
        <v>1031</v>
      </c>
      <c r="B33" s="122" t="s">
        <v>107</v>
      </c>
      <c r="C33" s="122" t="s">
        <v>61</v>
      </c>
      <c r="D33" s="122" t="s">
        <v>62</v>
      </c>
      <c r="E33" s="71">
        <v>10</v>
      </c>
      <c r="F33" s="71">
        <v>25</v>
      </c>
      <c r="G33" s="138">
        <v>45336</v>
      </c>
      <c r="H33" s="123">
        <v>250</v>
      </c>
      <c r="I33" s="137"/>
      <c r="J33" s="137"/>
    </row>
    <row r="34" spans="1:10" ht="18.75" x14ac:dyDescent="0.3">
      <c r="A34" s="71">
        <v>1032</v>
      </c>
      <c r="B34" s="122" t="s">
        <v>109</v>
      </c>
      <c r="C34" s="122" t="s">
        <v>64</v>
      </c>
      <c r="D34" s="122" t="s">
        <v>66</v>
      </c>
      <c r="E34" s="71">
        <v>18</v>
      </c>
      <c r="F34" s="71">
        <v>5</v>
      </c>
      <c r="G34" s="138">
        <v>45338</v>
      </c>
      <c r="H34" s="123">
        <v>90</v>
      </c>
      <c r="I34" s="137"/>
      <c r="J34" s="137"/>
    </row>
    <row r="35" spans="1:10" ht="18.75" x14ac:dyDescent="0.3">
      <c r="A35" s="71">
        <v>1033</v>
      </c>
      <c r="B35" s="122" t="s">
        <v>111</v>
      </c>
      <c r="C35" s="122" t="s">
        <v>55</v>
      </c>
      <c r="D35" s="122" t="s">
        <v>69</v>
      </c>
      <c r="E35" s="71">
        <v>22</v>
      </c>
      <c r="F35" s="71">
        <v>8</v>
      </c>
      <c r="G35" s="138">
        <v>45339</v>
      </c>
      <c r="H35" s="123">
        <v>176</v>
      </c>
      <c r="I35" s="137"/>
      <c r="J35" s="137"/>
    </row>
    <row r="36" spans="1:10" ht="18.75" x14ac:dyDescent="0.3">
      <c r="A36" s="71">
        <v>1034</v>
      </c>
      <c r="B36" s="122" t="s">
        <v>113</v>
      </c>
      <c r="C36" s="122" t="s">
        <v>58</v>
      </c>
      <c r="D36" s="122" t="s">
        <v>56</v>
      </c>
      <c r="E36" s="71">
        <v>17</v>
      </c>
      <c r="F36" s="71">
        <v>50</v>
      </c>
      <c r="G36" s="138">
        <v>45340</v>
      </c>
      <c r="H36" s="123">
        <v>850</v>
      </c>
      <c r="I36" s="137"/>
      <c r="J36" s="137"/>
    </row>
    <row r="37" spans="1:10" ht="18.75" x14ac:dyDescent="0.3">
      <c r="A37" s="71">
        <v>1035</v>
      </c>
      <c r="B37" s="122" t="s">
        <v>115</v>
      </c>
      <c r="C37" s="122" t="s">
        <v>61</v>
      </c>
      <c r="D37" s="122" t="s">
        <v>59</v>
      </c>
      <c r="E37" s="71">
        <v>19</v>
      </c>
      <c r="F37" s="71">
        <v>10</v>
      </c>
      <c r="G37" s="138">
        <v>45341</v>
      </c>
      <c r="H37" s="123">
        <v>190</v>
      </c>
      <c r="I37" s="137"/>
      <c r="J37" s="137"/>
    </row>
    <row r="38" spans="1:10" ht="18.75" x14ac:dyDescent="0.3">
      <c r="A38" s="71">
        <v>1036</v>
      </c>
      <c r="B38" s="122" t="s">
        <v>117</v>
      </c>
      <c r="C38" s="122" t="s">
        <v>64</v>
      </c>
      <c r="D38" s="122" t="s">
        <v>62</v>
      </c>
      <c r="E38" s="71">
        <v>15</v>
      </c>
      <c r="F38" s="71">
        <v>25</v>
      </c>
      <c r="G38" s="138">
        <v>45343</v>
      </c>
      <c r="H38" s="123">
        <v>375</v>
      </c>
      <c r="I38" s="137"/>
      <c r="J38" s="137"/>
    </row>
    <row r="39" spans="1:10" ht="18.75" x14ac:dyDescent="0.3">
      <c r="A39" s="71">
        <v>1037</v>
      </c>
      <c r="B39" s="122" t="s">
        <v>119</v>
      </c>
      <c r="C39" s="122" t="s">
        <v>55</v>
      </c>
      <c r="D39" s="122" t="s">
        <v>66</v>
      </c>
      <c r="E39" s="71">
        <v>28</v>
      </c>
      <c r="F39" s="71">
        <v>5</v>
      </c>
      <c r="G39" s="138">
        <v>45344</v>
      </c>
      <c r="H39" s="123">
        <v>140</v>
      </c>
      <c r="I39" s="137"/>
      <c r="J39" s="137"/>
    </row>
    <row r="40" spans="1:10" ht="18.75" x14ac:dyDescent="0.3">
      <c r="A40" s="71">
        <v>1038</v>
      </c>
      <c r="B40" s="122" t="s">
        <v>121</v>
      </c>
      <c r="C40" s="122" t="s">
        <v>58</v>
      </c>
      <c r="D40" s="122" t="s">
        <v>69</v>
      </c>
      <c r="E40" s="71">
        <v>24</v>
      </c>
      <c r="F40" s="71">
        <v>8</v>
      </c>
      <c r="G40" s="138">
        <v>45345</v>
      </c>
      <c r="H40" s="123">
        <v>192</v>
      </c>
      <c r="I40" s="137"/>
      <c r="J40" s="137"/>
    </row>
    <row r="41" spans="1:10" ht="18.75" x14ac:dyDescent="0.3">
      <c r="A41" s="71">
        <v>1039</v>
      </c>
      <c r="B41" s="122" t="s">
        <v>123</v>
      </c>
      <c r="C41" s="122" t="s">
        <v>61</v>
      </c>
      <c r="D41" s="122" t="s">
        <v>56</v>
      </c>
      <c r="E41" s="71">
        <v>16</v>
      </c>
      <c r="F41" s="71">
        <v>50</v>
      </c>
      <c r="G41" s="138">
        <v>45347</v>
      </c>
      <c r="H41" s="123">
        <v>800</v>
      </c>
      <c r="I41" s="137"/>
      <c r="J41" s="137"/>
    </row>
    <row r="42" spans="1:10" ht="18.75" x14ac:dyDescent="0.3">
      <c r="A42" s="71">
        <v>1040</v>
      </c>
      <c r="B42" s="122" t="s">
        <v>125</v>
      </c>
      <c r="C42" s="122" t="s">
        <v>64</v>
      </c>
      <c r="D42" s="122" t="s">
        <v>59</v>
      </c>
      <c r="E42" s="71">
        <v>27</v>
      </c>
      <c r="F42" s="71">
        <v>10</v>
      </c>
      <c r="G42" s="138">
        <v>45348</v>
      </c>
      <c r="H42" s="123">
        <v>270</v>
      </c>
      <c r="I42" s="137"/>
      <c r="J42" s="137"/>
    </row>
    <row r="43" spans="1:10" ht="18.75" x14ac:dyDescent="0.3">
      <c r="A43" s="71">
        <v>1041</v>
      </c>
      <c r="B43" s="122" t="s">
        <v>127</v>
      </c>
      <c r="C43" s="122" t="s">
        <v>55</v>
      </c>
      <c r="D43" s="122" t="s">
        <v>62</v>
      </c>
      <c r="E43" s="71">
        <v>21</v>
      </c>
      <c r="F43" s="71">
        <v>25</v>
      </c>
      <c r="G43" s="138">
        <v>45349</v>
      </c>
      <c r="H43" s="123">
        <v>525</v>
      </c>
      <c r="I43" s="137"/>
      <c r="J43" s="137"/>
    </row>
    <row r="44" spans="1:10" ht="18.75" x14ac:dyDescent="0.3">
      <c r="A44" s="71">
        <v>1042</v>
      </c>
      <c r="B44" s="122" t="s">
        <v>129</v>
      </c>
      <c r="C44" s="122" t="s">
        <v>58</v>
      </c>
      <c r="D44" s="122" t="s">
        <v>66</v>
      </c>
      <c r="E44" s="71">
        <v>30</v>
      </c>
      <c r="F44" s="71">
        <v>5</v>
      </c>
      <c r="G44" s="138">
        <v>45350</v>
      </c>
      <c r="H44" s="123">
        <v>150</v>
      </c>
      <c r="I44" s="137"/>
      <c r="J44" s="137"/>
    </row>
    <row r="45" spans="1:10" ht="18.75" x14ac:dyDescent="0.3">
      <c r="A45" s="71">
        <v>1043</v>
      </c>
      <c r="B45" s="122" t="s">
        <v>131</v>
      </c>
      <c r="C45" s="122" t="s">
        <v>61</v>
      </c>
      <c r="D45" s="122" t="s">
        <v>69</v>
      </c>
      <c r="E45" s="71">
        <v>26</v>
      </c>
      <c r="F45" s="71">
        <v>8</v>
      </c>
      <c r="G45" s="138">
        <v>45352</v>
      </c>
      <c r="H45" s="123">
        <v>208</v>
      </c>
      <c r="I45" s="137"/>
      <c r="J45" s="137"/>
    </row>
    <row r="46" spans="1:10" ht="18.75" x14ac:dyDescent="0.3">
      <c r="A46" s="71">
        <v>1044</v>
      </c>
      <c r="B46" s="122" t="s">
        <v>132</v>
      </c>
      <c r="C46" s="122" t="s">
        <v>64</v>
      </c>
      <c r="D46" s="122" t="s">
        <v>56</v>
      </c>
      <c r="E46" s="71">
        <v>14</v>
      </c>
      <c r="F46" s="71">
        <v>50</v>
      </c>
      <c r="G46" s="138">
        <v>45353</v>
      </c>
      <c r="H46" s="123">
        <v>700</v>
      </c>
      <c r="I46" s="137"/>
      <c r="J46" s="137"/>
    </row>
    <row r="47" spans="1:10" ht="18.75" x14ac:dyDescent="0.3">
      <c r="A47" s="71">
        <v>1045</v>
      </c>
      <c r="B47" s="122" t="s">
        <v>133</v>
      </c>
      <c r="C47" s="122" t="s">
        <v>55</v>
      </c>
      <c r="D47" s="122" t="s">
        <v>59</v>
      </c>
      <c r="E47" s="71">
        <v>20</v>
      </c>
      <c r="F47" s="71">
        <v>10</v>
      </c>
      <c r="G47" s="138">
        <v>45354</v>
      </c>
      <c r="H47" s="123">
        <v>200</v>
      </c>
      <c r="I47" s="137"/>
      <c r="J47" s="137"/>
    </row>
    <row r="48" spans="1:10" ht="18.75" x14ac:dyDescent="0.3">
      <c r="A48" s="71">
        <v>1046</v>
      </c>
      <c r="B48" s="122" t="s">
        <v>134</v>
      </c>
      <c r="C48" s="122" t="s">
        <v>58</v>
      </c>
      <c r="D48" s="122" t="s">
        <v>62</v>
      </c>
      <c r="E48" s="71">
        <v>17</v>
      </c>
      <c r="F48" s="71">
        <v>25</v>
      </c>
      <c r="G48" s="138">
        <v>45355</v>
      </c>
      <c r="H48" s="123">
        <v>425</v>
      </c>
      <c r="I48" s="137"/>
      <c r="J48" s="137"/>
    </row>
    <row r="49" spans="1:10" ht="18.75" x14ac:dyDescent="0.3">
      <c r="A49" s="71">
        <v>1047</v>
      </c>
      <c r="B49" s="122" t="s">
        <v>135</v>
      </c>
      <c r="C49" s="122" t="s">
        <v>61</v>
      </c>
      <c r="D49" s="122" t="s">
        <v>66</v>
      </c>
      <c r="E49" s="71">
        <v>19</v>
      </c>
      <c r="F49" s="71">
        <v>5</v>
      </c>
      <c r="G49" s="138">
        <v>45356</v>
      </c>
      <c r="H49" s="123">
        <v>95</v>
      </c>
      <c r="I49" s="137"/>
      <c r="J49" s="137"/>
    </row>
    <row r="50" spans="1:10" ht="18.75" x14ac:dyDescent="0.3">
      <c r="A50" s="71">
        <v>1048</v>
      </c>
      <c r="B50" s="122" t="s">
        <v>136</v>
      </c>
      <c r="C50" s="122" t="s">
        <v>64</v>
      </c>
      <c r="D50" s="122" t="s">
        <v>69</v>
      </c>
      <c r="E50" s="71">
        <v>32</v>
      </c>
      <c r="F50" s="71">
        <v>8</v>
      </c>
      <c r="G50" s="138">
        <v>45357</v>
      </c>
      <c r="H50" s="123">
        <v>256</v>
      </c>
      <c r="I50" s="137"/>
      <c r="J50" s="137"/>
    </row>
    <row r="51" spans="1:10" ht="18.75" x14ac:dyDescent="0.3">
      <c r="A51" s="71">
        <v>1049</v>
      </c>
      <c r="B51" s="122" t="s">
        <v>137</v>
      </c>
      <c r="C51" s="122" t="s">
        <v>55</v>
      </c>
      <c r="D51" s="122" t="s">
        <v>56</v>
      </c>
      <c r="E51" s="71">
        <v>12</v>
      </c>
      <c r="F51" s="71">
        <v>50</v>
      </c>
      <c r="G51" s="138">
        <v>45358</v>
      </c>
      <c r="H51" s="123">
        <v>600</v>
      </c>
      <c r="I51" s="137"/>
      <c r="J51" s="137"/>
    </row>
    <row r="52" spans="1:10" ht="18.75" x14ac:dyDescent="0.3">
      <c r="A52" s="71">
        <v>1050</v>
      </c>
      <c r="B52" s="122" t="s">
        <v>138</v>
      </c>
      <c r="C52" s="122" t="s">
        <v>58</v>
      </c>
      <c r="D52" s="122" t="s">
        <v>59</v>
      </c>
      <c r="E52" s="71">
        <v>25</v>
      </c>
      <c r="F52" s="71">
        <v>10</v>
      </c>
      <c r="G52" s="138">
        <v>45359</v>
      </c>
      <c r="H52" s="123">
        <v>250</v>
      </c>
      <c r="I52" s="137"/>
      <c r="J52" s="137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 </vt:lpstr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Maskar</dc:creator>
  <cp:lastModifiedBy>Admin</cp:lastModifiedBy>
  <dcterms:created xsi:type="dcterms:W3CDTF">2025-12-29T16:53:00Z</dcterms:created>
  <dcterms:modified xsi:type="dcterms:W3CDTF">2025-12-31T09:19:13Z</dcterms:modified>
</cp:coreProperties>
</file>