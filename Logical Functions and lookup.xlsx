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S\"/>
    </mc:Choice>
  </mc:AlternateContent>
  <xr:revisionPtr revIDLastSave="0" documentId="13_ncr:1_{68F15975-B6B1-4442-8BF9-764916BF57E1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Cover Page " sheetId="2" r:id="rId1"/>
    <sheet name="Q1" sheetId="1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9" l="1"/>
  <c r="C9" i="8"/>
  <c r="E17" i="7"/>
  <c r="E16" i="7"/>
  <c r="E15" i="7"/>
  <c r="E14" i="7"/>
  <c r="C10" i="6"/>
  <c r="B11" i="5"/>
  <c r="D10" i="4" l="1"/>
  <c r="D6" i="4"/>
  <c r="D7" i="4"/>
  <c r="D8" i="4"/>
  <c r="D9" i="4"/>
  <c r="D5" i="4"/>
  <c r="E4" i="3"/>
  <c r="E5" i="3"/>
  <c r="E6" i="3"/>
  <c r="E3" i="3"/>
  <c r="F5" i="1"/>
  <c r="F6" i="1"/>
  <c r="F7" i="1"/>
  <c r="F8" i="1"/>
  <c r="F4" i="1"/>
</calcChain>
</file>

<file path=xl/sharedStrings.xml><?xml version="1.0" encoding="utf-8"?>
<sst xmlns="http://schemas.openxmlformats.org/spreadsheetml/2006/main" count="104" uniqueCount="79">
  <si>
    <t>Q1. Write a formula to check if the marks in cell B2 are greater than or equal to 40. If yes, return "Pass" otherwise "Fail"</t>
  </si>
  <si>
    <t xml:space="preserve">Student Name </t>
  </si>
  <si>
    <t xml:space="preserve">Marks </t>
  </si>
  <si>
    <t xml:space="preserve">Riya </t>
  </si>
  <si>
    <t>Siya</t>
  </si>
  <si>
    <t>Raju</t>
  </si>
  <si>
    <t xml:space="preserve">Rahul </t>
  </si>
  <si>
    <t>Ram</t>
  </si>
  <si>
    <t xml:space="preserve">Result </t>
  </si>
  <si>
    <t xml:space="preserve">In above table asnwer is shown in result row go with that </t>
  </si>
  <si>
    <t xml:space="preserve">Q2.  company gives a bonus  if sales are above 40,000 and attendance is greater than or equal to 90%. Write a
formula to calculate whether the employee will get a bonus or not </t>
  </si>
  <si>
    <t>Answer -</t>
  </si>
  <si>
    <t>Attendance</t>
  </si>
  <si>
    <t xml:space="preserve">Sales </t>
  </si>
  <si>
    <t xml:space="preserve">Employee </t>
  </si>
  <si>
    <t>Arjun</t>
  </si>
  <si>
    <t xml:space="preserve">Simran </t>
  </si>
  <si>
    <t xml:space="preserve">Rohit </t>
  </si>
  <si>
    <t xml:space="preserve">Anjali </t>
  </si>
  <si>
    <t xml:space="preserve">Remark </t>
  </si>
  <si>
    <t xml:space="preserve">This question answer shown in remark cell , go through it </t>
  </si>
  <si>
    <t xml:space="preserve">Q3.Write a nested IF formula:_x000B_
</t>
  </si>
  <si>
    <t xml:space="preserve">If marks in B2 are &gt;= 90 → ,"A" ,&gt;=  75 → "B",&gt;= 50 →"C" , otherwise  "Fail". </t>
  </si>
  <si>
    <t xml:space="preserve">Raj </t>
  </si>
  <si>
    <t>Neha</t>
  </si>
  <si>
    <t xml:space="preserve">Vivek </t>
  </si>
  <si>
    <t xml:space="preserve">Rani </t>
  </si>
  <si>
    <t>Sneha</t>
  </si>
  <si>
    <t>Answer</t>
  </si>
  <si>
    <t xml:space="preserve">Payal </t>
  </si>
  <si>
    <t>Q4. Find the Department of Employee ID = E103. Also explain which LOOKUP function is used and why?</t>
  </si>
  <si>
    <t>EmpID</t>
  </si>
  <si>
    <t xml:space="preserve">Name </t>
  </si>
  <si>
    <t xml:space="preserve">Department </t>
  </si>
  <si>
    <t>E101</t>
  </si>
  <si>
    <t>IT</t>
  </si>
  <si>
    <t>E102</t>
  </si>
  <si>
    <t>Riya</t>
  </si>
  <si>
    <t>HR</t>
  </si>
  <si>
    <t>E103</t>
  </si>
  <si>
    <t xml:space="preserve">Roshani </t>
  </si>
  <si>
    <t xml:space="preserve">Finance </t>
  </si>
  <si>
    <t>E104</t>
  </si>
  <si>
    <t>Sejal</t>
  </si>
  <si>
    <t>Sales</t>
  </si>
  <si>
    <t xml:space="preserve">Answer </t>
  </si>
  <si>
    <t>Explanation:</t>
  </si>
  <si>
    <r>
      <t>VLOOKUP</t>
    </r>
    <r>
      <rPr>
        <sz val="14"/>
        <color theme="1"/>
        <rFont val="Calibri"/>
        <family val="2"/>
        <scheme val="minor"/>
      </rPr>
      <t xml:space="preserve"> is used because:</t>
    </r>
  </si>
  <si>
    <r>
      <t xml:space="preserve">Employee ID is in the </t>
    </r>
    <r>
      <rPr>
        <b/>
        <sz val="14"/>
        <color theme="1"/>
        <rFont val="Calibri"/>
        <family val="2"/>
        <scheme val="minor"/>
      </rPr>
      <t>first column</t>
    </r>
    <r>
      <rPr>
        <sz val="14"/>
        <color theme="1"/>
        <rFont val="Calibri"/>
        <family val="2"/>
        <scheme val="minor"/>
      </rPr>
      <t xml:space="preserve"> of the table.</t>
    </r>
  </si>
  <si>
    <r>
      <t xml:space="preserve">We want to fetch the </t>
    </r>
    <r>
      <rPr>
        <b/>
        <sz val="14"/>
        <color theme="1"/>
        <rFont val="Calibri"/>
        <family val="2"/>
        <scheme val="minor"/>
      </rPr>
      <t>Department</t>
    </r>
    <r>
      <rPr>
        <sz val="14"/>
        <color theme="1"/>
        <rFont val="Calibri"/>
        <family val="2"/>
        <scheme val="minor"/>
      </rPr>
      <t xml:space="preserve"> from the second column.</t>
    </r>
  </si>
  <si>
    <r>
      <t>FALSE</t>
    </r>
    <r>
      <rPr>
        <sz val="14"/>
        <color theme="1"/>
        <rFont val="Calibri"/>
        <family val="2"/>
        <scheme val="minor"/>
      </rPr>
      <t xml:space="preserve"> ensures an </t>
    </r>
    <r>
      <rPr>
        <b/>
        <sz val="14"/>
        <color theme="1"/>
        <rFont val="Calibri"/>
        <family val="2"/>
        <scheme val="minor"/>
      </rPr>
      <t>exact match</t>
    </r>
    <r>
      <rPr>
        <sz val="14"/>
        <color theme="1"/>
        <rFont val="Calibri"/>
        <family val="2"/>
        <scheme val="minor"/>
      </rPr>
      <t xml:space="preserve"> for EmpID.</t>
    </r>
  </si>
  <si>
    <t>Q5.  company has set the following commission structure for its sales team:</t>
  </si>
  <si>
    <t xml:space="preserve">Sales Amount </t>
  </si>
  <si>
    <t xml:space="preserve">Commision Rate </t>
  </si>
  <si>
    <t>If a salesperson achieves sales of ₹45,000, use the VLOOKUP function to determine the commission rate applicable.</t>
  </si>
  <si>
    <t>Final Answer:</t>
  </si>
  <si>
    <r>
      <t xml:space="preserve">For sales of </t>
    </r>
    <r>
      <rPr>
        <b/>
        <sz val="11"/>
        <color theme="1"/>
        <rFont val="Calibri"/>
        <family val="2"/>
        <scheme val="minor"/>
      </rPr>
      <t>₹</t>
    </r>
    <r>
      <rPr>
        <b/>
        <sz val="14"/>
        <color theme="1"/>
        <rFont val="Calibri"/>
        <family val="2"/>
        <scheme val="minor"/>
      </rPr>
      <t>45,000</t>
    </r>
    <r>
      <rPr>
        <sz val="14"/>
        <color theme="1"/>
        <rFont val="Calibri"/>
        <family val="2"/>
        <scheme val="minor"/>
      </rPr>
      <t xml:space="preserve">, the applicable </t>
    </r>
    <r>
      <rPr>
        <b/>
        <sz val="14"/>
        <color theme="1"/>
        <rFont val="Calibri"/>
        <family val="2"/>
        <scheme val="minor"/>
      </rPr>
      <t>commission rate is 10%</t>
    </r>
    <r>
      <rPr>
        <sz val="14"/>
        <color theme="1"/>
        <rFont val="Calibri"/>
        <family val="2"/>
        <scheme val="minor"/>
      </rPr>
      <t xml:space="preserve">  </t>
    </r>
  </si>
  <si>
    <t xml:space="preserve">Q6.The HR department maintains the following leave records of employees:onus or not . </t>
  </si>
  <si>
    <t xml:space="preserve">Employee Name </t>
  </si>
  <si>
    <t xml:space="preserve">Leaves Taken </t>
  </si>
  <si>
    <t xml:space="preserve">Leaves Allowed </t>
  </si>
  <si>
    <t>Alex</t>
  </si>
  <si>
    <t>Bob</t>
  </si>
  <si>
    <t xml:space="preserve">Anna </t>
  </si>
  <si>
    <t xml:space="preserve">Write an IF function to check whether an employee has Exceeded their allowed leave balance. </t>
  </si>
  <si>
    <t>If Leaves Taken &gt; Allowed Leaves, display "Exceeded".</t>
  </si>
  <si>
    <t xml:space="preserve"> Otherwise, display "OK".</t>
  </si>
  <si>
    <t>Q7 .Find the salary of EmpID = E105 using INDEX-MATCH Function.</t>
  </si>
  <si>
    <t xml:space="preserve">Salary </t>
  </si>
  <si>
    <t>E105</t>
  </si>
  <si>
    <t>E106</t>
  </si>
  <si>
    <t>Q8. Use the XLOOKUP function to find the Department of the employee with Emp ID = E303</t>
  </si>
  <si>
    <t>E303</t>
  </si>
  <si>
    <t>E301</t>
  </si>
  <si>
    <t>Finance</t>
  </si>
  <si>
    <t>.</t>
  </si>
  <si>
    <t xml:space="preserve">Logical Functions And Lookup </t>
  </si>
  <si>
    <t>Assignmanet No :- 03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</si>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</sst>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Bookman Old Style"/>
      <family val="1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3"/>
      <color theme="0"/>
      <name val="Comic Sans MS"/>
      <family val="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Arial Unicode MS"/>
      <family val="2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0" fillId="0" borderId="0"/>
  </cellStyleXfs>
  <cellXfs count="9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3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9" xfId="0" applyFont="1" applyBorder="1"/>
    <xf numFmtId="0" fontId="2" fillId="0" borderId="0" xfId="0" applyFont="1"/>
    <xf numFmtId="0" fontId="1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2" fillId="0" borderId="4" xfId="0" applyFont="1" applyBorder="1"/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6" fillId="0" borderId="1" xfId="0" applyFont="1" applyBorder="1"/>
    <xf numFmtId="0" fontId="8" fillId="0" borderId="1" xfId="0" applyFont="1" applyBorder="1"/>
    <xf numFmtId="0" fontId="8" fillId="0" borderId="2" xfId="0" applyFont="1" applyBorder="1"/>
    <xf numFmtId="0" fontId="7" fillId="0" borderId="3" xfId="0" applyFont="1" applyBorder="1"/>
    <xf numFmtId="0" fontId="7" fillId="0" borderId="15" xfId="0" applyFont="1" applyBorder="1"/>
    <xf numFmtId="0" fontId="7" fillId="0" borderId="4" xfId="0" applyFont="1" applyBorder="1"/>
    <xf numFmtId="0" fontId="8" fillId="0" borderId="5" xfId="0" applyFont="1" applyBorder="1"/>
    <xf numFmtId="0" fontId="8" fillId="0" borderId="7" xfId="0" applyFont="1" applyBorder="1"/>
    <xf numFmtId="0" fontId="8" fillId="0" borderId="9" xfId="0" applyFont="1" applyBorder="1"/>
    <xf numFmtId="0" fontId="8" fillId="0" borderId="16" xfId="0" applyFont="1" applyBorder="1"/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2" borderId="8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2" xfId="0" applyFont="1" applyBorder="1"/>
    <xf numFmtId="0" fontId="2" fillId="0" borderId="3" xfId="0" applyFont="1" applyBorder="1"/>
    <xf numFmtId="0" fontId="6" fillId="0" borderId="2" xfId="0" applyFont="1" applyBorder="1" applyAlignment="1">
      <alignment horizontal="center"/>
    </xf>
    <xf numFmtId="0" fontId="0" fillId="0" borderId="16" xfId="0" applyBorder="1"/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3" fillId="0" borderId="1" xfId="0" applyFont="1" applyBorder="1"/>
    <xf numFmtId="9" fontId="3" fillId="0" borderId="1" xfId="0" applyNumberFormat="1" applyFont="1" applyBorder="1"/>
    <xf numFmtId="0" fontId="3" fillId="0" borderId="2" xfId="0" applyFont="1" applyBorder="1"/>
    <xf numFmtId="9" fontId="3" fillId="0" borderId="2" xfId="0" applyNumberFormat="1" applyFont="1" applyBorder="1"/>
    <xf numFmtId="0" fontId="1" fillId="0" borderId="4" xfId="0" applyFont="1" applyBorder="1"/>
    <xf numFmtId="9" fontId="1" fillId="0" borderId="0" xfId="0" applyNumberFormat="1" applyFont="1"/>
    <xf numFmtId="0" fontId="6" fillId="0" borderId="0" xfId="0" applyFont="1"/>
    <xf numFmtId="0" fontId="0" fillId="0" borderId="16" xfId="0" applyBorder="1" applyAlignment="1">
      <alignment horizontal="center"/>
    </xf>
    <xf numFmtId="0" fontId="12" fillId="0" borderId="17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10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5" xfId="0" applyFont="1" applyBorder="1"/>
    <xf numFmtId="0" fontId="6" fillId="0" borderId="6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" fillId="0" borderId="17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25" xfId="0" applyFont="1" applyBorder="1" applyAlignment="1">
      <alignment horizontal="center" vertical="top"/>
    </xf>
    <xf numFmtId="0" fontId="16" fillId="0" borderId="26" xfId="0" applyFont="1" applyBorder="1" applyAlignment="1">
      <alignment horizontal="center" vertical="top"/>
    </xf>
    <xf numFmtId="0" fontId="16" fillId="0" borderId="27" xfId="0" applyFont="1" applyBorder="1" applyAlignment="1">
      <alignment horizontal="center" vertical="top"/>
    </xf>
    <xf numFmtId="0" fontId="16" fillId="0" borderId="28" xfId="0" applyFont="1" applyBorder="1" applyAlignment="1">
      <alignment horizontal="center" vertical="top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396240</xdr:colOff>
      <xdr:row>1</xdr:row>
      <xdr:rowOff>60962</xdr:rowOff>
    </xdr:from>
    <xdr:to>
      <xdr:col>12</xdr:col>
      <xdr:colOff>571500</xdr:colOff>
      <xdr:row>17</xdr:row>
      <xdr:rowOff>60148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6912A-436C-E6D2-5552-9B4A5D144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468"/>
        <a:stretch>
          <a:fillRect/>
        </a:stretch>
      </xdr:blipFill>
      <xdr:spPr>
        <a:xfrm>
          <a:off x="3444240" y="243842"/>
          <a:ext cx="4442460" cy="2932886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9"/>
  <sheetViews>
    <sheetView workbookViewId="0">
      <selection activeCell="Q15" sqref="Q15"/>
    </sheetView>
  </sheetViews>
  <sheetFormatPr defaultRowHeight="14.4"/>
  <sheetData>
    <row r="2" ht="14.4" customHeight="1"/>
    <row r="3" ht="14.4" customHeight="1"/>
    <row r="4" ht="14.4" customHeight="1"/>
    <row r="5" ht="14.4" customHeight="1"/>
    <row r="6" ht="14.4" customHeight="1"/>
    <row r="7" ht="15" customHeight="1"/>
    <row r="19" spans="1:14" ht="15" thickBot="1"/>
    <row r="20" spans="1:14" ht="25.8">
      <c r="F20" s="82" t="s">
        <v>77</v>
      </c>
      <c r="G20" s="83"/>
      <c r="H20" s="83"/>
      <c r="I20" s="83"/>
      <c r="J20" s="83"/>
      <c r="K20" s="83"/>
      <c r="L20" s="83"/>
      <c r="M20" s="83"/>
      <c r="N20" s="84"/>
    </row>
    <row r="21" spans="1:14">
      <c r="F21" s="85" t="s">
        <v>76</v>
      </c>
      <c r="G21" s="86"/>
      <c r="H21" s="86"/>
      <c r="I21" s="86"/>
      <c r="J21" s="86"/>
      <c r="K21" s="86"/>
      <c r="L21" s="86"/>
      <c r="M21" s="86"/>
      <c r="N21" s="87"/>
    </row>
    <row r="22" spans="1:14">
      <c r="F22" s="85"/>
      <c r="G22" s="86"/>
      <c r="H22" s="86"/>
      <c r="I22" s="86"/>
      <c r="J22" s="86"/>
      <c r="K22" s="86"/>
      <c r="L22" s="86"/>
      <c r="M22" s="86"/>
      <c r="N22" s="87"/>
    </row>
    <row r="23" spans="1:14" ht="15" thickBot="1">
      <c r="F23" s="88"/>
      <c r="G23" s="89"/>
      <c r="H23" s="89"/>
      <c r="I23" s="89"/>
      <c r="J23" s="89"/>
      <c r="K23" s="89"/>
      <c r="L23" s="89"/>
      <c r="M23" s="89"/>
      <c r="N23" s="90"/>
    </row>
    <row r="25" spans="1:14" ht="14.4" customHeight="1">
      <c r="A25" t="s">
        <v>78</v>
      </c>
    </row>
    <row r="26" spans="1:14" ht="14.4" customHeight="1"/>
    <row r="27" spans="1:14" ht="14.4" customHeight="1"/>
    <row r="28" spans="1:14" ht="14.4" customHeight="1"/>
    <row r="29" spans="1:14" ht="15" customHeight="1"/>
  </sheetData>
  <mergeCells count="2">
    <mergeCell ref="F20:N20"/>
    <mergeCell ref="F21:N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workbookViewId="0">
      <selection activeCell="A2" sqref="A2"/>
    </sheetView>
  </sheetViews>
  <sheetFormatPr defaultRowHeight="14.4"/>
  <cols>
    <col min="4" max="4" width="16.88671875" bestFit="1" customWidth="1"/>
    <col min="6" max="6" width="9.6640625" bestFit="1" customWidth="1"/>
  </cols>
  <sheetData>
    <row r="1" spans="1:15" ht="18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18.600000000000001" thickBot="1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1.6" thickBot="1">
      <c r="D3" s="3" t="s">
        <v>1</v>
      </c>
      <c r="E3" s="8" t="s">
        <v>2</v>
      </c>
      <c r="F3" s="12" t="s">
        <v>8</v>
      </c>
    </row>
    <row r="4" spans="1:15" ht="18">
      <c r="D4" s="4" t="s">
        <v>3</v>
      </c>
      <c r="E4" s="9">
        <v>45</v>
      </c>
      <c r="F4" s="13" t="str">
        <f>IF(E4&gt;=40, "PASS", "FAIL")</f>
        <v>PASS</v>
      </c>
    </row>
    <row r="5" spans="1:15" ht="18">
      <c r="D5" s="5" t="s">
        <v>4</v>
      </c>
      <c r="E5" s="10">
        <v>72</v>
      </c>
      <c r="F5" s="14" t="str">
        <f t="shared" ref="F5:F8" si="0">IF(E5&gt;=40, "PASS", "FAIL")</f>
        <v>PASS</v>
      </c>
    </row>
    <row r="6" spans="1:15" ht="18">
      <c r="D6" s="5" t="s">
        <v>5</v>
      </c>
      <c r="E6" s="10">
        <v>55</v>
      </c>
      <c r="F6" s="14" t="str">
        <f t="shared" si="0"/>
        <v>PASS</v>
      </c>
    </row>
    <row r="7" spans="1:15" ht="18">
      <c r="D7" s="5" t="s">
        <v>6</v>
      </c>
      <c r="E7" s="10">
        <v>80</v>
      </c>
      <c r="F7" s="14" t="str">
        <f t="shared" si="0"/>
        <v>PASS</v>
      </c>
    </row>
    <row r="8" spans="1:15" ht="18">
      <c r="D8" s="5" t="s">
        <v>7</v>
      </c>
      <c r="E8" s="10">
        <v>30</v>
      </c>
      <c r="F8" s="14" t="str">
        <f t="shared" si="0"/>
        <v>FAIL</v>
      </c>
    </row>
    <row r="9" spans="1:15" ht="18.600000000000001" thickBot="1">
      <c r="D9" s="6"/>
      <c r="E9" s="11"/>
      <c r="F9" s="15"/>
    </row>
    <row r="11" spans="1:15" ht="18">
      <c r="B11" s="74" t="s">
        <v>9</v>
      </c>
      <c r="C11" s="74"/>
      <c r="D11" s="74"/>
      <c r="E11" s="74"/>
      <c r="F11" s="74"/>
      <c r="G11" s="74"/>
      <c r="H11" s="74"/>
      <c r="I11" s="74"/>
      <c r="J11" s="74"/>
      <c r="K11" s="74"/>
    </row>
  </sheetData>
  <mergeCells count="2">
    <mergeCell ref="A1:O1"/>
    <mergeCell ref="B11:K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"/>
  <sheetViews>
    <sheetView topLeftCell="A4" workbookViewId="0">
      <selection activeCell="D17" sqref="D17:D24"/>
    </sheetView>
  </sheetViews>
  <sheetFormatPr defaultRowHeight="14.4"/>
  <cols>
    <col min="2" max="2" width="17.6640625" bestFit="1" customWidth="1"/>
    <col min="3" max="3" width="10.88671875" bestFit="1" customWidth="1"/>
    <col min="4" max="4" width="19.44140625" bestFit="1" customWidth="1"/>
    <col min="5" max="5" width="18.33203125" customWidth="1"/>
  </cols>
  <sheetData>
    <row r="1" spans="1:19" ht="49.2" customHeight="1" thickBot="1">
      <c r="A1" s="75" t="s">
        <v>10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16"/>
      <c r="R1" s="16"/>
      <c r="S1" s="16"/>
    </row>
    <row r="2" spans="1:19" ht="26.4" thickBot="1">
      <c r="B2" s="20" t="s">
        <v>14</v>
      </c>
      <c r="C2" s="21" t="s">
        <v>13</v>
      </c>
      <c r="D2" s="22" t="s">
        <v>12</v>
      </c>
      <c r="E2" s="22" t="s">
        <v>19</v>
      </c>
    </row>
    <row r="3" spans="1:19" ht="25.8">
      <c r="B3" s="23" t="s">
        <v>15</v>
      </c>
      <c r="C3" s="19">
        <v>55000</v>
      </c>
      <c r="D3" s="27">
        <v>95</v>
      </c>
      <c r="E3" s="30" t="str">
        <f>IF(AND(C3&gt;40000, D3&gt;=90%), "BONUS", "NO BONUS")</f>
        <v>BONUS</v>
      </c>
    </row>
    <row r="4" spans="1:19" ht="25.8">
      <c r="B4" s="24" t="s">
        <v>16</v>
      </c>
      <c r="C4" s="18">
        <v>65000</v>
      </c>
      <c r="D4" s="28">
        <v>85</v>
      </c>
      <c r="E4" s="30" t="str">
        <f t="shared" ref="E4:E6" si="0">IF(AND(C4&gt;40000, D4&gt;=90%), "BONUS", "NO BONUS")</f>
        <v>BONUS</v>
      </c>
    </row>
    <row r="5" spans="1:19" ht="25.8">
      <c r="B5" s="24" t="s">
        <v>17</v>
      </c>
      <c r="C5" s="18">
        <v>30000</v>
      </c>
      <c r="D5" s="28">
        <v>90</v>
      </c>
      <c r="E5" s="30" t="str">
        <f t="shared" si="0"/>
        <v>NO BONUS</v>
      </c>
    </row>
    <row r="6" spans="1:19" ht="26.4" thickBot="1">
      <c r="B6" s="25" t="s">
        <v>18</v>
      </c>
      <c r="C6" s="26">
        <v>25000</v>
      </c>
      <c r="D6" s="29">
        <v>65</v>
      </c>
      <c r="E6" s="31" t="str">
        <f t="shared" si="0"/>
        <v>NO BONUS</v>
      </c>
    </row>
    <row r="8" spans="1:19" ht="25.8">
      <c r="B8" s="32" t="s">
        <v>20</v>
      </c>
    </row>
    <row r="17" spans="1:1" ht="18">
      <c r="A17" s="1"/>
    </row>
  </sheetData>
  <mergeCells count="1"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G14" sqref="G14"/>
    </sheetView>
  </sheetViews>
  <sheetFormatPr defaultRowHeight="14.4"/>
  <cols>
    <col min="2" max="2" width="19.88671875" bestFit="1" customWidth="1"/>
    <col min="3" max="3" width="9.6640625" bestFit="1" customWidth="1"/>
    <col min="4" max="4" width="10.6640625" bestFit="1" customWidth="1"/>
  </cols>
  <sheetData>
    <row r="1" spans="1:4" ht="18">
      <c r="A1" s="2" t="s">
        <v>21</v>
      </c>
      <c r="B1" s="2"/>
      <c r="C1" s="2"/>
    </row>
    <row r="2" spans="1:4" ht="18">
      <c r="A2" s="2" t="s">
        <v>22</v>
      </c>
      <c r="B2" s="2"/>
      <c r="C2" s="2"/>
    </row>
    <row r="3" spans="1:4" ht="15" thickBot="1"/>
    <row r="4" spans="1:4" ht="21.6" thickBot="1">
      <c r="B4" s="34" t="s">
        <v>1</v>
      </c>
      <c r="C4" s="12" t="s">
        <v>2</v>
      </c>
      <c r="D4" s="12" t="s">
        <v>28</v>
      </c>
    </row>
    <row r="5" spans="1:4" ht="21">
      <c r="B5" s="33" t="s">
        <v>23</v>
      </c>
      <c r="C5" s="33">
        <v>85</v>
      </c>
      <c r="D5" s="35" t="str">
        <f>IF(C5&gt;=90,"A",IF(C5&gt;=75,"B",IF(C5&gt;=50,"C","Fail")))</f>
        <v>B</v>
      </c>
    </row>
    <row r="6" spans="1:4" ht="21">
      <c r="B6" s="17" t="s">
        <v>24</v>
      </c>
      <c r="C6" s="17">
        <v>96</v>
      </c>
      <c r="D6" s="35" t="str">
        <f t="shared" ref="D6:D10" si="0">IF(C6&gt;=90,"A",IF(C6&gt;=75,"B",IF(C6&gt;=50,"C","Fail")))</f>
        <v>A</v>
      </c>
    </row>
    <row r="7" spans="1:4" ht="21">
      <c r="B7" s="17" t="s">
        <v>25</v>
      </c>
      <c r="C7" s="17">
        <v>57</v>
      </c>
      <c r="D7" s="35" t="str">
        <f t="shared" si="0"/>
        <v>C</v>
      </c>
    </row>
    <row r="8" spans="1:4" ht="21">
      <c r="B8" s="17" t="s">
        <v>26</v>
      </c>
      <c r="C8" s="17">
        <v>92</v>
      </c>
      <c r="D8" s="35" t="str">
        <f t="shared" si="0"/>
        <v>A</v>
      </c>
    </row>
    <row r="9" spans="1:4" ht="21">
      <c r="B9" s="17" t="s">
        <v>27</v>
      </c>
      <c r="C9" s="17">
        <v>75</v>
      </c>
      <c r="D9" s="35" t="str">
        <f t="shared" si="0"/>
        <v>B</v>
      </c>
    </row>
    <row r="10" spans="1:4" ht="21">
      <c r="B10" s="17" t="s">
        <v>29</v>
      </c>
      <c r="C10" s="17">
        <v>40</v>
      </c>
      <c r="D10" s="35" t="str">
        <f t="shared" si="0"/>
        <v>Fail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selection activeCell="C23" sqref="C23"/>
    </sheetView>
  </sheetViews>
  <sheetFormatPr defaultRowHeight="14.4"/>
  <cols>
    <col min="6" max="6" width="14.6640625" bestFit="1" customWidth="1"/>
  </cols>
  <sheetData>
    <row r="1" spans="1:6" ht="21">
      <c r="A1" s="7" t="s">
        <v>30</v>
      </c>
    </row>
    <row r="2" spans="1:6" ht="15" thickBot="1"/>
    <row r="3" spans="1:6" ht="18.600000000000001" thickBot="1">
      <c r="D3" s="44" t="s">
        <v>31</v>
      </c>
      <c r="E3" s="41" t="s">
        <v>32</v>
      </c>
      <c r="F3" s="37" t="s">
        <v>33</v>
      </c>
    </row>
    <row r="4" spans="1:6">
      <c r="D4" s="45" t="s">
        <v>34</v>
      </c>
      <c r="E4" s="42" t="s">
        <v>5</v>
      </c>
      <c r="F4" s="38" t="s">
        <v>35</v>
      </c>
    </row>
    <row r="5" spans="1:6">
      <c r="D5" s="46" t="s">
        <v>36</v>
      </c>
      <c r="E5" s="43" t="s">
        <v>37</v>
      </c>
      <c r="F5" s="39" t="s">
        <v>38</v>
      </c>
    </row>
    <row r="6" spans="1:6">
      <c r="D6" s="46" t="s">
        <v>39</v>
      </c>
      <c r="E6" s="43" t="s">
        <v>40</v>
      </c>
      <c r="F6" s="39" t="s">
        <v>41</v>
      </c>
    </row>
    <row r="7" spans="1:6">
      <c r="D7" s="46" t="s">
        <v>42</v>
      </c>
      <c r="E7" s="43" t="s">
        <v>43</v>
      </c>
      <c r="F7" s="39" t="s">
        <v>44</v>
      </c>
    </row>
    <row r="8" spans="1:6" ht="15" thickBot="1">
      <c r="D8" s="47"/>
      <c r="E8" s="36"/>
      <c r="F8" s="40"/>
    </row>
    <row r="10" spans="1:6" s="50" customFormat="1" ht="24" thickBot="1">
      <c r="A10" s="49" t="s">
        <v>45</v>
      </c>
    </row>
    <row r="11" spans="1:6" ht="21.6" thickBot="1">
      <c r="B11" s="76" t="str">
        <f>VLOOKUP("E103", D3:F8, 2, FALSE)</f>
        <v xml:space="preserve">Roshani </v>
      </c>
      <c r="C11" s="77"/>
      <c r="D11" s="78"/>
    </row>
    <row r="13" spans="1:6" ht="23.4">
      <c r="A13" s="49" t="s">
        <v>46</v>
      </c>
    </row>
    <row r="14" spans="1:6" ht="18">
      <c r="A14" s="53" t="s">
        <v>47</v>
      </c>
      <c r="B14" s="52"/>
      <c r="C14" s="52"/>
      <c r="D14" s="52"/>
      <c r="E14" s="52"/>
      <c r="F14" s="52"/>
    </row>
    <row r="15" spans="1:6" ht="18">
      <c r="A15" s="54" t="s">
        <v>48</v>
      </c>
      <c r="B15" s="52"/>
      <c r="C15" s="52"/>
      <c r="D15" s="52"/>
      <c r="E15" s="52"/>
      <c r="F15" s="52"/>
    </row>
    <row r="16" spans="1:6" ht="18">
      <c r="A16" s="54" t="s">
        <v>49</v>
      </c>
      <c r="B16" s="52"/>
      <c r="C16" s="52"/>
      <c r="D16" s="52"/>
      <c r="E16" s="52"/>
      <c r="F16" s="52"/>
    </row>
    <row r="17" spans="1:6" ht="18">
      <c r="A17" s="55" t="s">
        <v>50</v>
      </c>
      <c r="B17" s="52"/>
      <c r="C17" s="52"/>
      <c r="D17" s="52"/>
      <c r="E17" s="52"/>
      <c r="F17" s="52"/>
    </row>
  </sheetData>
  <mergeCells count="1">
    <mergeCell ref="B11:D1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selection activeCell="J18" sqref="J18"/>
    </sheetView>
  </sheetViews>
  <sheetFormatPr defaultRowHeight="14.4"/>
  <cols>
    <col min="2" max="2" width="10.6640625" customWidth="1"/>
    <col min="3" max="3" width="17.6640625" bestFit="1" customWidth="1"/>
    <col min="4" max="4" width="20.5546875" bestFit="1" customWidth="1"/>
  </cols>
  <sheetData>
    <row r="1" spans="1:8" s="48" customFormat="1" ht="18">
      <c r="A1" s="2" t="s">
        <v>51</v>
      </c>
      <c r="B1" s="2"/>
      <c r="C1" s="2"/>
      <c r="D1" s="2"/>
      <c r="E1" s="2"/>
      <c r="F1" s="2"/>
      <c r="G1" s="2"/>
      <c r="H1" s="2"/>
    </row>
    <row r="2" spans="1:8" ht="18.600000000000001" thickBot="1">
      <c r="A2" s="52"/>
      <c r="B2" s="52"/>
      <c r="C2" s="52"/>
      <c r="D2" s="52"/>
      <c r="E2" s="52"/>
      <c r="F2" s="52"/>
      <c r="G2" s="52"/>
      <c r="H2" s="52"/>
    </row>
    <row r="3" spans="1:8" ht="18.600000000000001" thickBot="1">
      <c r="A3" s="52"/>
      <c r="B3" s="52"/>
      <c r="C3" s="3" t="s">
        <v>52</v>
      </c>
      <c r="D3" s="60" t="s">
        <v>53</v>
      </c>
      <c r="E3" s="52"/>
      <c r="F3" s="52"/>
      <c r="G3" s="52"/>
      <c r="H3" s="52"/>
    </row>
    <row r="4" spans="1:8" ht="18">
      <c r="A4" s="52"/>
      <c r="B4" s="52"/>
      <c r="C4" s="58">
        <v>0</v>
      </c>
      <c r="D4" s="59">
        <v>0.05</v>
      </c>
      <c r="E4" s="52"/>
      <c r="F4" s="52"/>
      <c r="G4" s="52"/>
      <c r="H4" s="52"/>
    </row>
    <row r="5" spans="1:8" ht="18">
      <c r="A5" s="52"/>
      <c r="B5" s="52"/>
      <c r="C5" s="56">
        <v>20000</v>
      </c>
      <c r="D5" s="57">
        <v>0.1</v>
      </c>
      <c r="E5" s="52"/>
      <c r="F5" s="52"/>
      <c r="G5" s="52"/>
      <c r="H5" s="52"/>
    </row>
    <row r="6" spans="1:8" ht="18">
      <c r="A6" s="52"/>
      <c r="B6" s="52"/>
      <c r="C6" s="56">
        <v>50000</v>
      </c>
      <c r="D6" s="57">
        <v>0.15</v>
      </c>
      <c r="E6" s="52"/>
      <c r="F6" s="52"/>
      <c r="G6" s="52"/>
      <c r="H6" s="52"/>
    </row>
    <row r="7" spans="1:8" ht="18">
      <c r="A7" s="52"/>
      <c r="B7" s="52"/>
      <c r="C7" s="56">
        <v>80000</v>
      </c>
      <c r="D7" s="57">
        <v>0.2</v>
      </c>
      <c r="E7" s="52"/>
      <c r="F7" s="52"/>
      <c r="G7" s="52"/>
      <c r="H7" s="52"/>
    </row>
    <row r="8" spans="1:8" ht="18">
      <c r="A8" s="52" t="s">
        <v>54</v>
      </c>
      <c r="B8" s="52"/>
      <c r="C8" s="52"/>
      <c r="D8" s="52"/>
      <c r="E8" s="52"/>
      <c r="F8" s="52"/>
      <c r="G8" s="52"/>
      <c r="H8" s="52"/>
    </row>
    <row r="10" spans="1:8" ht="18">
      <c r="A10" s="79" t="s">
        <v>53</v>
      </c>
      <c r="B10" s="79"/>
      <c r="C10" s="61">
        <f>VLOOKUP(45000, C3:D7, 2, TRUE)</f>
        <v>0.1</v>
      </c>
    </row>
    <row r="12" spans="1:8" ht="18">
      <c r="A12" s="51" t="s">
        <v>55</v>
      </c>
    </row>
    <row r="13" spans="1:8" ht="18">
      <c r="A13" s="52" t="s">
        <v>56</v>
      </c>
      <c r="B13" s="52"/>
      <c r="C13" s="52"/>
      <c r="D13" s="52"/>
      <c r="E13" s="52"/>
      <c r="F13" s="52"/>
      <c r="G13" s="52"/>
      <c r="H13" s="52"/>
    </row>
  </sheetData>
  <mergeCells count="1">
    <mergeCell ref="A10:B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>
      <selection activeCell="D29" sqref="D29"/>
    </sheetView>
  </sheetViews>
  <sheetFormatPr defaultRowHeight="14.4"/>
  <cols>
    <col min="2" max="2" width="20.5546875" bestFit="1" customWidth="1"/>
    <col min="3" max="3" width="17" bestFit="1" customWidth="1"/>
    <col min="4" max="4" width="19.88671875" bestFit="1" customWidth="1"/>
    <col min="5" max="5" width="10.5546875" bestFit="1" customWidth="1"/>
  </cols>
  <sheetData>
    <row r="1" spans="1:5" ht="21">
      <c r="A1" s="7" t="s">
        <v>57</v>
      </c>
    </row>
    <row r="2" spans="1:5" ht="15" thickBot="1"/>
    <row r="3" spans="1:5" ht="18.600000000000001" thickBot="1">
      <c r="B3" s="44" t="s">
        <v>58</v>
      </c>
      <c r="C3" s="41" t="s">
        <v>59</v>
      </c>
      <c r="D3" s="37" t="s">
        <v>60</v>
      </c>
    </row>
    <row r="4" spans="1:5">
      <c r="B4" s="42" t="s">
        <v>61</v>
      </c>
      <c r="C4" s="42">
        <v>10</v>
      </c>
      <c r="D4" s="42">
        <v>12</v>
      </c>
    </row>
    <row r="5" spans="1:5">
      <c r="B5" s="43" t="s">
        <v>62</v>
      </c>
      <c r="C5" s="43">
        <v>10</v>
      </c>
      <c r="D5" s="43">
        <v>15</v>
      </c>
    </row>
    <row r="6" spans="1:5">
      <c r="B6" s="43" t="s">
        <v>63</v>
      </c>
      <c r="C6" s="43">
        <v>8</v>
      </c>
      <c r="D6" s="43">
        <v>12</v>
      </c>
    </row>
    <row r="8" spans="1:5" ht="21">
      <c r="A8" s="62" t="s">
        <v>64</v>
      </c>
    </row>
    <row r="9" spans="1:5" ht="21">
      <c r="A9" s="62" t="s">
        <v>65</v>
      </c>
    </row>
    <row r="10" spans="1:5" ht="21">
      <c r="A10" s="62" t="s">
        <v>66</v>
      </c>
    </row>
    <row r="12" spans="1:5" ht="21.6" thickBot="1">
      <c r="A12" s="7" t="s">
        <v>45</v>
      </c>
    </row>
    <row r="13" spans="1:5" ht="18.600000000000001" thickBot="1">
      <c r="B13" s="44" t="s">
        <v>58</v>
      </c>
      <c r="C13" s="41" t="s">
        <v>59</v>
      </c>
      <c r="D13" s="41" t="s">
        <v>60</v>
      </c>
      <c r="E13" s="37" t="s">
        <v>19</v>
      </c>
    </row>
    <row r="14" spans="1:5">
      <c r="B14" s="45" t="s">
        <v>61</v>
      </c>
      <c r="C14" s="42">
        <v>10</v>
      </c>
      <c r="D14" s="42">
        <v>12</v>
      </c>
      <c r="E14" s="38" t="str">
        <f>IF(C14&gt;D14,"Exceede","OK")</f>
        <v>OK</v>
      </c>
    </row>
    <row r="15" spans="1:5">
      <c r="B15" s="46" t="s">
        <v>62</v>
      </c>
      <c r="C15" s="43">
        <v>10</v>
      </c>
      <c r="D15" s="43">
        <v>15</v>
      </c>
      <c r="E15" s="39" t="str">
        <f t="shared" ref="E15" si="0">IF(C15&gt;D15,"Exceede","OK")</f>
        <v>OK</v>
      </c>
    </row>
    <row r="16" spans="1:5">
      <c r="B16" s="46" t="s">
        <v>63</v>
      </c>
      <c r="C16" s="43">
        <v>8</v>
      </c>
      <c r="D16" s="43">
        <v>12</v>
      </c>
      <c r="E16" s="39" t="str">
        <f>IF(C16&gt;D16,"Exceeded","OK")</f>
        <v>OK</v>
      </c>
    </row>
    <row r="17" spans="2:5" ht="15" thickBot="1">
      <c r="B17" s="47" t="s">
        <v>29</v>
      </c>
      <c r="C17" s="63">
        <v>15</v>
      </c>
      <c r="D17" s="63">
        <v>12</v>
      </c>
      <c r="E17" s="40" t="str">
        <f>IF(C17&gt;D17,"Exceeded","OK")</f>
        <v>Exceeded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>
      <selection activeCell="D20" sqref="D20"/>
    </sheetView>
  </sheetViews>
  <sheetFormatPr defaultRowHeight="14.4"/>
  <cols>
    <col min="3" max="3" width="9.88671875" bestFit="1" customWidth="1"/>
    <col min="4" max="4" width="8.6640625" bestFit="1" customWidth="1"/>
  </cols>
  <sheetData>
    <row r="1" spans="1:4" ht="18">
      <c r="A1" s="52" t="s">
        <v>67</v>
      </c>
      <c r="B1" s="52"/>
      <c r="C1" s="52"/>
      <c r="D1" s="52"/>
    </row>
    <row r="2" spans="1:4" ht="18.600000000000001" thickBot="1">
      <c r="A2" s="52"/>
      <c r="B2" s="52"/>
      <c r="C2" s="52"/>
      <c r="D2" s="52"/>
    </row>
    <row r="3" spans="1:4" ht="18.600000000000001" thickBot="1">
      <c r="A3" s="52"/>
      <c r="B3" s="52"/>
      <c r="C3" s="3" t="s">
        <v>31</v>
      </c>
      <c r="D3" s="60" t="s">
        <v>68</v>
      </c>
    </row>
    <row r="4" spans="1:4" ht="18">
      <c r="A4" s="52"/>
      <c r="B4" s="52"/>
      <c r="C4" s="4" t="s">
        <v>42</v>
      </c>
      <c r="D4" s="65">
        <v>55000</v>
      </c>
    </row>
    <row r="5" spans="1:4" ht="18">
      <c r="A5" s="52"/>
      <c r="B5" s="52"/>
      <c r="C5" s="5" t="s">
        <v>69</v>
      </c>
      <c r="D5" s="66">
        <v>72000</v>
      </c>
    </row>
    <row r="6" spans="1:4" ht="18">
      <c r="A6" s="52"/>
      <c r="B6" s="52"/>
      <c r="C6" s="5" t="s">
        <v>70</v>
      </c>
      <c r="D6" s="66">
        <v>62000</v>
      </c>
    </row>
    <row r="7" spans="1:4" ht="18.600000000000001" thickBot="1">
      <c r="A7" s="52"/>
      <c r="B7" s="52"/>
      <c r="C7" s="6" t="s">
        <v>36</v>
      </c>
      <c r="D7" s="67">
        <v>41000</v>
      </c>
    </row>
    <row r="8" spans="1:4" ht="24" thickBot="1">
      <c r="A8" s="80" t="s">
        <v>45</v>
      </c>
      <c r="B8" s="80"/>
      <c r="C8" s="52"/>
      <c r="D8" s="52"/>
    </row>
    <row r="9" spans="1:4" ht="24" thickBot="1">
      <c r="A9" s="52"/>
      <c r="B9" s="52"/>
      <c r="C9" s="64">
        <f>INDEX(D3:D7, MATCH("E105", C3:C7, 0))</f>
        <v>72000</v>
      </c>
      <c r="D9" s="52"/>
    </row>
  </sheetData>
  <mergeCells count="1">
    <mergeCell ref="A8:B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"/>
  <sheetViews>
    <sheetView tabSelected="1" workbookViewId="0">
      <selection activeCell="H14" sqref="H14"/>
    </sheetView>
  </sheetViews>
  <sheetFormatPr defaultRowHeight="14.4"/>
  <cols>
    <col min="4" max="4" width="10.6640625" bestFit="1" customWidth="1"/>
  </cols>
  <sheetData>
    <row r="1" spans="1:4" ht="18">
      <c r="A1" s="52" t="s">
        <v>71</v>
      </c>
    </row>
    <row r="2" spans="1:4" ht="15" thickBot="1"/>
    <row r="3" spans="1:4" ht="21.6" thickBot="1">
      <c r="C3" s="34" t="s">
        <v>31</v>
      </c>
      <c r="D3" s="12" t="s">
        <v>68</v>
      </c>
    </row>
    <row r="4" spans="1:4" ht="21">
      <c r="C4" s="72" t="s">
        <v>34</v>
      </c>
      <c r="D4" s="73" t="s">
        <v>38</v>
      </c>
    </row>
    <row r="5" spans="1:4" ht="21">
      <c r="C5" s="68" t="s">
        <v>72</v>
      </c>
      <c r="D5" s="69" t="s">
        <v>35</v>
      </c>
    </row>
    <row r="6" spans="1:4" ht="21">
      <c r="C6" s="68" t="s">
        <v>70</v>
      </c>
      <c r="D6" s="69" t="s">
        <v>44</v>
      </c>
    </row>
    <row r="7" spans="1:4" ht="21">
      <c r="C7" s="68" t="s">
        <v>73</v>
      </c>
      <c r="D7" s="69" t="s">
        <v>74</v>
      </c>
    </row>
    <row r="8" spans="1:4" ht="21.6" thickBot="1">
      <c r="C8" s="70"/>
      <c r="D8" s="71"/>
    </row>
    <row r="10" spans="1:4" ht="21.6" thickBot="1">
      <c r="A10" s="7" t="s">
        <v>45</v>
      </c>
    </row>
    <row r="11" spans="1:4" ht="21.6" thickBot="1">
      <c r="C11" s="81" t="str">
        <f>_xlfn.XLOOKUP("E303", C3:C8, D3:D8)</f>
        <v>IT</v>
      </c>
    </row>
    <row r="32" spans="7:7">
      <c r="G3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Page </vt:lpstr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Maskar</cp:lastModifiedBy>
  <dcterms:created xsi:type="dcterms:W3CDTF">2026-01-09T16:35:55Z</dcterms:created>
  <dcterms:modified xsi:type="dcterms:W3CDTF">2026-01-10T17:48:53Z</dcterms:modified>
</cp:coreProperties>
</file>