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170" windowHeight="9630" activeTab="7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8" l="1"/>
  <c r="D11" i="8"/>
  <c r="C21" i="7"/>
  <c r="E5" i="7"/>
  <c r="E6" i="7"/>
  <c r="E7" i="7"/>
  <c r="E8" i="7"/>
  <c r="E9" i="7"/>
  <c r="E4" i="7"/>
  <c r="B12" i="5"/>
  <c r="B11" i="5"/>
  <c r="C15" i="2"/>
</calcChain>
</file>

<file path=xl/sharedStrings.xml><?xml version="1.0" encoding="utf-8"?>
<sst xmlns="http://schemas.openxmlformats.org/spreadsheetml/2006/main" count="102" uniqueCount="90">
  <si>
    <t>Question 1: What is a null hypothesis (H₀) and why is it important in hypothesis testing?</t>
  </si>
  <si>
    <t>Answer:</t>
  </si>
  <si>
    <t>Importance:</t>
  </si>
  <si>
    <t>All statistical tests are designed to test H₀</t>
  </si>
  <si>
    <t>It helps us decide whether the observed sample result is due to chance or not</t>
  </si>
  <si>
    <t>Example:</t>
  </si>
  <si>
    <t>H₀: Average complaint resolution time = 10 minutes</t>
  </si>
  <si>
    <r>
      <t xml:space="preserve">The </t>
    </r>
    <r>
      <rPr>
        <b/>
        <sz val="16"/>
        <color theme="1"/>
        <rFont val="Calibri"/>
        <family val="2"/>
        <scheme val="minor"/>
      </rPr>
      <t>null hypothesis (H₀)</t>
    </r>
    <r>
      <rPr>
        <sz val="16"/>
        <color theme="1"/>
        <rFont val="Calibri"/>
        <family val="2"/>
        <scheme val="minor"/>
      </rPr>
      <t xml:space="preserve"> is a statement that assumes </t>
    </r>
    <r>
      <rPr>
        <b/>
        <sz val="16"/>
        <color theme="1"/>
        <rFont val="Calibri"/>
        <family val="2"/>
        <scheme val="minor"/>
      </rPr>
      <t>no effect, no difference, or no change</t>
    </r>
    <r>
      <rPr>
        <sz val="16"/>
        <color theme="1"/>
        <rFont val="Calibri"/>
        <family val="2"/>
        <scheme val="minor"/>
      </rPr>
      <t xml:space="preserve"> in the population.</t>
    </r>
  </si>
  <si>
    <t>-</t>
  </si>
  <si>
    <r>
      <t xml:space="preserve">It provides a </t>
    </r>
    <r>
      <rPr>
        <b/>
        <sz val="16"/>
        <color theme="1"/>
        <rFont val="Calibri"/>
        <family val="2"/>
        <scheme val="minor"/>
      </rPr>
      <t>starting point</t>
    </r>
    <r>
      <rPr>
        <sz val="16"/>
        <color theme="1"/>
        <rFont val="Calibri"/>
        <family val="2"/>
        <scheme val="minor"/>
      </rPr>
      <t xml:space="preserve"> for hypothesis testing</t>
    </r>
  </si>
  <si>
    <t>Question 2: What does the significance level (α) represent in hypothesis testing?</t>
  </si>
  <si>
    <t>Key points:</t>
  </si>
  <si>
    <r>
      <t xml:space="preserve">In hypothesis testing, the </t>
    </r>
    <r>
      <rPr>
        <b/>
        <sz val="14"/>
        <color theme="1"/>
        <rFont val="Calibri"/>
        <family val="2"/>
        <scheme val="minor"/>
      </rPr>
      <t>significance level (α)</t>
    </r>
    <r>
      <rPr>
        <sz val="14"/>
        <color theme="1"/>
        <rFont val="Calibri"/>
        <family val="2"/>
        <scheme val="minor"/>
      </rPr>
      <t xml:space="preserve"> represents the </t>
    </r>
    <r>
      <rPr>
        <b/>
        <sz val="14"/>
        <color theme="1"/>
        <rFont val="Calibri"/>
        <family val="2"/>
        <scheme val="minor"/>
      </rPr>
      <t>maximum probability of making a Type I error</t>
    </r>
    <r>
      <rPr>
        <sz val="14"/>
        <color theme="1"/>
        <rFont val="Calibri"/>
        <family val="2"/>
        <scheme val="minor"/>
      </rPr>
      <t xml:space="preserve"> — that is, </t>
    </r>
    <r>
      <rPr>
        <b/>
        <sz val="14"/>
        <color theme="1"/>
        <rFont val="Calibri"/>
        <family val="2"/>
        <scheme val="minor"/>
      </rPr>
      <t>rejecting a true null hypothesis</t>
    </r>
    <r>
      <rPr>
        <sz val="14"/>
        <color theme="1"/>
        <rFont val="Calibri"/>
        <family val="2"/>
        <scheme val="minor"/>
      </rPr>
      <t>.</t>
    </r>
  </si>
  <si>
    <r>
      <t xml:space="preserve">Common values of α are </t>
    </r>
    <r>
      <rPr>
        <b/>
        <sz val="14"/>
        <color theme="1"/>
        <rFont val="Calibri"/>
        <family val="2"/>
        <scheme val="minor"/>
      </rPr>
      <t>0.05 (5%)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0.01 (1%)</t>
    </r>
    <r>
      <rPr>
        <sz val="14"/>
        <color theme="1"/>
        <rFont val="Calibri"/>
        <family val="2"/>
        <scheme val="minor"/>
      </rPr>
      <t xml:space="preserve">, or </t>
    </r>
    <r>
      <rPr>
        <b/>
        <sz val="14"/>
        <color theme="1"/>
        <rFont val="Calibri"/>
        <family val="2"/>
        <scheme val="minor"/>
      </rPr>
      <t>0.10 (10%)</t>
    </r>
  </si>
  <si>
    <r>
      <t xml:space="preserve">If </t>
    </r>
    <r>
      <rPr>
        <b/>
        <sz val="16"/>
        <color theme="1"/>
        <rFont val="Calibri"/>
        <family val="2"/>
        <scheme val="minor"/>
      </rPr>
      <t>p-value ≤ α → reject the null hypothesis</t>
    </r>
  </si>
  <si>
    <r>
      <t xml:space="preserve">If </t>
    </r>
    <r>
      <rPr>
        <b/>
        <sz val="16"/>
        <color theme="1"/>
        <rFont val="Calibri"/>
        <family val="2"/>
        <scheme val="minor"/>
      </rPr>
      <t>p-value &gt; α → fail to reject the null hypothesis</t>
    </r>
  </si>
  <si>
    <r>
      <t xml:space="preserve">If </t>
    </r>
    <r>
      <rPr>
        <b/>
        <sz val="16"/>
        <color theme="1"/>
        <rFont val="Calibri"/>
        <family val="2"/>
        <scheme val="minor"/>
      </rPr>
      <t>α = 0.05</t>
    </r>
    <r>
      <rPr>
        <sz val="16"/>
        <color theme="1"/>
        <rFont val="Calibri"/>
        <family val="2"/>
        <scheme val="minor"/>
      </rPr>
      <t xml:space="preserve">, it means there is a </t>
    </r>
    <r>
      <rPr>
        <b/>
        <sz val="16"/>
        <color theme="1"/>
        <rFont val="Calibri"/>
        <family val="2"/>
        <scheme val="minor"/>
      </rPr>
      <t>5% chance</t>
    </r>
    <r>
      <rPr>
        <sz val="16"/>
        <color theme="1"/>
        <rFont val="Calibri"/>
        <family val="2"/>
        <scheme val="minor"/>
      </rPr>
      <t xml:space="preserve"> of rejecting the null hypothesis even though it is actually true.</t>
    </r>
  </si>
  <si>
    <t>Assume:</t>
  </si>
  <si>
    <t xml:space="preserve">α </t>
  </si>
  <si>
    <r>
      <t>p-value</t>
    </r>
    <r>
      <rPr>
        <sz val="16"/>
        <color theme="1"/>
        <rFont val="Calibri"/>
        <family val="2"/>
        <scheme val="minor"/>
      </rPr>
      <t xml:space="preserve"> </t>
    </r>
  </si>
  <si>
    <t>Question 3: Differentiate between Type I and Type II errors.</t>
  </si>
  <si>
    <t>Error Type</t>
  </si>
  <si>
    <t>Meaning</t>
  </si>
  <si>
    <t>Type I Error</t>
  </si>
  <si>
    <t>Rejecting H₀ when it is actually true</t>
  </si>
  <si>
    <t>Type II Error</t>
  </si>
  <si>
    <t>Failing to reject H₀ when it is false</t>
  </si>
  <si>
    <t>Type I: Saying training worked when it didn’t</t>
  </si>
  <si>
    <t>Type II: Saying training didn’t work when it actually did</t>
  </si>
  <si>
    <t>Question 4: Explain the difference between a one-tailed and two-tailed test. Give an example of each.</t>
  </si>
  <si>
    <t>One-tailed Test</t>
  </si>
  <si>
    <t>Two-tailed Test</t>
  </si>
  <si>
    <t>Used when direction is known</t>
  </si>
  <si>
    <t>Used when direction is unknown</t>
  </si>
  <si>
    <r>
      <t xml:space="preserve">Tests effect in </t>
    </r>
    <r>
      <rPr>
        <b/>
        <sz val="16"/>
        <color theme="1"/>
        <rFont val="Calibri"/>
        <family val="2"/>
        <scheme val="minor"/>
      </rPr>
      <t>one direction</t>
    </r>
  </si>
  <si>
    <r>
      <t xml:space="preserve">Tests effect in </t>
    </r>
    <r>
      <rPr>
        <b/>
        <sz val="16"/>
        <color theme="1"/>
        <rFont val="Calibri"/>
        <family val="2"/>
        <scheme val="minor"/>
      </rPr>
      <t>both directions</t>
    </r>
  </si>
  <si>
    <t>Examples:</t>
  </si>
  <si>
    <r>
      <t xml:space="preserve">One-tailed: Productivity </t>
    </r>
    <r>
      <rPr>
        <b/>
        <sz val="14"/>
        <color theme="1"/>
        <rFont val="Calibri"/>
        <family val="2"/>
        <scheme val="minor"/>
      </rPr>
      <t>increased</t>
    </r>
    <r>
      <rPr>
        <sz val="14"/>
        <color theme="1"/>
        <rFont val="Calibri"/>
        <family val="2"/>
        <scheme val="minor"/>
      </rPr>
      <t xml:space="preserve"> after training</t>
    </r>
  </si>
  <si>
    <r>
      <t xml:space="preserve">Two-tailed: Average time is </t>
    </r>
    <r>
      <rPr>
        <b/>
        <sz val="14"/>
        <color theme="1"/>
        <rFont val="Calibri"/>
        <family val="2"/>
        <scheme val="minor"/>
      </rPr>
      <t>different</t>
    </r>
    <r>
      <rPr>
        <sz val="14"/>
        <color theme="1"/>
        <rFont val="Calibri"/>
        <family val="2"/>
        <scheme val="minor"/>
      </rPr>
      <t xml:space="preserve"> from 10 minutes</t>
    </r>
  </si>
  <si>
    <t>Question 5: A company claims that the average time to resolve a customer complaint is 10 minutes. A random sample of 9 complaints gives an average time of 12 minutes and a standard deviation of 3 minutes. At α = 0.05, test the claim.</t>
  </si>
  <si>
    <t>x̄ = 12, μ = 10, s = 3, n = 9, α = 0.05</t>
  </si>
  <si>
    <t>Hypotheses:</t>
  </si>
  <si>
    <t>H₀: μ = 10</t>
  </si>
  <si>
    <t>H₁: μ ≠ 10</t>
  </si>
  <si>
    <t>Test Statistic (t):</t>
  </si>
  <si>
    <t>t</t>
  </si>
  <si>
    <t xml:space="preserve">t₀.₀₂₅,₈ </t>
  </si>
  <si>
    <t>At 5% significance level, there is not enough evidence to reject the company’s claim</t>
  </si>
  <si>
    <t>Conclusion :</t>
  </si>
  <si>
    <t>Question 6: When should you use a Z-test instead of a t-test?</t>
  </si>
  <si>
    <t>Use Z-test when:</t>
  </si>
  <si>
    <t>Data is normally distributed</t>
  </si>
  <si>
    <t>Use t-test when:</t>
  </si>
  <si>
    <r>
      <t xml:space="preserve">Sample size </t>
    </r>
    <r>
      <rPr>
        <b/>
        <sz val="16"/>
        <color theme="1"/>
        <rFont val="Calibri"/>
        <family val="2"/>
        <scheme val="minor"/>
      </rPr>
      <t>n ≥ 30</t>
    </r>
  </si>
  <si>
    <r>
      <t xml:space="preserve">Sample size </t>
    </r>
    <r>
      <rPr>
        <b/>
        <sz val="16"/>
        <color theme="1"/>
        <rFont val="Calibri"/>
        <family val="2"/>
        <scheme val="minor"/>
      </rPr>
      <t>n &lt; 30</t>
    </r>
  </si>
  <si>
    <r>
      <t xml:space="preserve">Population standard deviation is </t>
    </r>
    <r>
      <rPr>
        <b/>
        <sz val="16"/>
        <color theme="1"/>
        <rFont val="Calibri"/>
        <family val="2"/>
        <scheme val="minor"/>
      </rPr>
      <t>unknown</t>
    </r>
  </si>
  <si>
    <t xml:space="preserve">Answer </t>
  </si>
  <si>
    <t>Population standard deviation is known</t>
  </si>
  <si>
    <t>Question 7: The productivity of 6 employees was measured before and after a training program.</t>
  </si>
  <si>
    <t>Employee</t>
  </si>
  <si>
    <t>Before</t>
  </si>
  <si>
    <t>After</t>
  </si>
  <si>
    <t>At α = 0.05, test if the training improved productivity.</t>
  </si>
  <si>
    <t>Expected frequency:</t>
  </si>
  <si>
    <t>Diff</t>
  </si>
  <si>
    <t>Mean difference (d̄)</t>
  </si>
  <si>
    <t>Std deviation (s) ≈</t>
  </si>
  <si>
    <t>n=</t>
  </si>
  <si>
    <t>Test statistic:</t>
  </si>
  <si>
    <t>Critical Value:</t>
  </si>
  <si>
    <t xml:space="preserve">t₀.₀₅,₅ </t>
  </si>
  <si>
    <t>At α = 0.05, training significantly improved productivity.</t>
  </si>
  <si>
    <t>Question 8: A company wants to test if product preference is independent of gender</t>
  </si>
  <si>
    <t>Gender</t>
  </si>
  <si>
    <t>Product A</t>
  </si>
  <si>
    <t>Product B</t>
  </si>
  <si>
    <t>Total</t>
  </si>
  <si>
    <t>Male</t>
  </si>
  <si>
    <t>Female</t>
  </si>
  <si>
    <t>At α = 0.05, test independence</t>
  </si>
  <si>
    <t xml:space="preserve">E=RowxColumn/Total </t>
  </si>
  <si>
    <t xml:space="preserve">Calculated χ² </t>
  </si>
  <si>
    <t>≈ 4.76</t>
  </si>
  <si>
    <t>Critical value:</t>
  </si>
  <si>
    <t xml:space="preserve">df </t>
  </si>
  <si>
    <t>χ²₀.₀₅</t>
  </si>
  <si>
    <t>Decision:</t>
  </si>
  <si>
    <r>
      <t xml:space="preserve">4.76 &gt; 3.84 → </t>
    </r>
    <r>
      <rPr>
        <b/>
        <sz val="16"/>
        <color theme="1"/>
        <rFont val="Calibri"/>
        <family val="2"/>
        <scheme val="minor"/>
      </rPr>
      <t>Reject H₀</t>
    </r>
  </si>
  <si>
    <t>Conclusion:</t>
  </si>
  <si>
    <r>
      <t xml:space="preserve">Product preference </t>
    </r>
    <r>
      <rPr>
        <b/>
        <sz val="14"/>
        <color theme="1"/>
        <rFont val="Calibri"/>
        <family val="2"/>
        <scheme val="minor"/>
      </rPr>
      <t>depends on gender</t>
    </r>
    <r>
      <rPr>
        <sz val="14"/>
        <color theme="1"/>
        <rFont val="Calibri"/>
        <family val="2"/>
        <scheme val="minor"/>
      </rPr>
      <t xml:space="preserve"> (not independent).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</si>
</sst>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 indent="1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right" vertical="center" inden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 inden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right"/>
    </xf>
    <xf numFmtId="0" fontId="4" fillId="0" borderId="0" xfId="0" applyFont="1"/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3" fillId="0" borderId="1" xfId="0" applyFont="1" applyFill="1" applyBorder="1"/>
    <xf numFmtId="0" fontId="5" fillId="0" borderId="0" xfId="0" applyFont="1" applyAlignment="1"/>
    <xf numFmtId="0" fontId="6" fillId="0" borderId="0" xfId="0" applyFont="1" applyAlignment="1">
      <alignment horizontal="right" vertical="center" inden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C34" sqref="C34"/>
    </sheetView>
  </sheetViews>
  <sheetFormatPr defaultRowHeight="15" x14ac:dyDescent="0.25"/>
  <sheetData>
    <row r="1" spans="1:17" ht="23.25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spans="1:17" ht="21" x14ac:dyDescent="0.35">
      <c r="A3" s="8" t="s">
        <v>1</v>
      </c>
      <c r="B3" s="1"/>
    </row>
    <row r="4" spans="1:17" ht="21" x14ac:dyDescent="0.35">
      <c r="B4" s="7" t="s">
        <v>7</v>
      </c>
    </row>
    <row r="6" spans="1:17" ht="21" x14ac:dyDescent="0.35">
      <c r="A6" s="8" t="s">
        <v>2</v>
      </c>
    </row>
    <row r="7" spans="1:17" ht="21" x14ac:dyDescent="0.35">
      <c r="A7" s="10" t="s">
        <v>8</v>
      </c>
      <c r="B7" s="7" t="s">
        <v>9</v>
      </c>
    </row>
    <row r="8" spans="1:17" ht="21" x14ac:dyDescent="0.35">
      <c r="A8" s="10" t="s">
        <v>8</v>
      </c>
      <c r="B8" s="7" t="s">
        <v>3</v>
      </c>
    </row>
    <row r="9" spans="1:17" ht="21" x14ac:dyDescent="0.35">
      <c r="A9" s="10" t="s">
        <v>8</v>
      </c>
      <c r="B9" s="7" t="s">
        <v>4</v>
      </c>
    </row>
    <row r="10" spans="1:17" ht="21" x14ac:dyDescent="0.35">
      <c r="A10" s="8" t="s">
        <v>5</v>
      </c>
    </row>
    <row r="11" spans="1:17" ht="21" x14ac:dyDescent="0.35">
      <c r="B11" s="7" t="s">
        <v>6</v>
      </c>
    </row>
  </sheetData>
  <mergeCells count="1">
    <mergeCell ref="A1:Q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C15" sqref="C15"/>
    </sheetView>
  </sheetViews>
  <sheetFormatPr defaultRowHeight="15" x14ac:dyDescent="0.25"/>
  <cols>
    <col min="1" max="1" width="11.7109375" bestFit="1" customWidth="1"/>
  </cols>
  <sheetData>
    <row r="1" spans="1:17" ht="23.25" x14ac:dyDescent="0.35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7" ht="45.75" customHeight="1" x14ac:dyDescent="0.3">
      <c r="A3" s="12" t="s">
        <v>12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7" ht="23.25" x14ac:dyDescent="0.25">
      <c r="A5" s="15" t="s">
        <v>11</v>
      </c>
      <c r="B5" s="15"/>
    </row>
    <row r="6" spans="1:17" ht="18.75" x14ac:dyDescent="0.25">
      <c r="A6" s="16" t="s">
        <v>13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7" ht="21" x14ac:dyDescent="0.25">
      <c r="A7" s="17" t="s">
        <v>14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7" ht="21" x14ac:dyDescent="0.25">
      <c r="A8" s="17" t="s">
        <v>15</v>
      </c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7" ht="23.25" x14ac:dyDescent="0.25">
      <c r="A9" s="15" t="s">
        <v>5</v>
      </c>
      <c r="B9" s="15"/>
    </row>
    <row r="10" spans="1:17" ht="21" x14ac:dyDescent="0.25">
      <c r="A10" s="17" t="s">
        <v>16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2" spans="1:17" ht="23.25" x14ac:dyDescent="0.25">
      <c r="A12" s="15" t="s">
        <v>17</v>
      </c>
      <c r="B12" s="15"/>
    </row>
    <row r="13" spans="1:17" ht="21" x14ac:dyDescent="0.35">
      <c r="A13" s="19" t="s">
        <v>19</v>
      </c>
      <c r="B13" s="7">
        <v>10</v>
      </c>
      <c r="C13" s="7"/>
    </row>
    <row r="14" spans="1:17" ht="21" x14ac:dyDescent="0.35">
      <c r="A14" s="19" t="s">
        <v>18</v>
      </c>
      <c r="B14" s="7">
        <v>0.05</v>
      </c>
      <c r="C14" s="7"/>
    </row>
    <row r="15" spans="1:17" ht="21" x14ac:dyDescent="0.35">
      <c r="A15" s="7"/>
      <c r="B15" s="7"/>
      <c r="C15" s="7" t="str">
        <f>IF(B13&lt;=0.05,"Reject Null Hypothesis","Fail to Reject Null Hypothesis")</f>
        <v>Fail to Reject Null Hypothesis</v>
      </c>
    </row>
    <row r="16" spans="1:17" ht="21" x14ac:dyDescent="0.35">
      <c r="A16" s="7"/>
      <c r="B16" s="7"/>
      <c r="C16" s="7"/>
    </row>
  </sheetData>
  <mergeCells count="11">
    <mergeCell ref="A9:B9"/>
    <mergeCell ref="A2:P2"/>
    <mergeCell ref="A4:P4"/>
    <mergeCell ref="A10:P10"/>
    <mergeCell ref="A12:B12"/>
    <mergeCell ref="A1:M1"/>
    <mergeCell ref="A3:Q3"/>
    <mergeCell ref="A5:B5"/>
    <mergeCell ref="A6:K6"/>
    <mergeCell ref="A7:K7"/>
    <mergeCell ref="A8:K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E7" sqref="E7"/>
    </sheetView>
  </sheetViews>
  <sheetFormatPr defaultRowHeight="15" x14ac:dyDescent="0.25"/>
  <cols>
    <col min="1" max="1" width="11.5703125" bestFit="1" customWidth="1"/>
    <col min="2" max="2" width="15.140625" bestFit="1" customWidth="1"/>
    <col min="3" max="3" width="40.7109375" bestFit="1" customWidth="1"/>
  </cols>
  <sheetData>
    <row r="1" spans="1:15" ht="23.25" x14ac:dyDescent="0.35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3" spans="1:15" ht="18.75" x14ac:dyDescent="0.25">
      <c r="B3" s="22" t="s">
        <v>21</v>
      </c>
      <c r="C3" s="22" t="s">
        <v>22</v>
      </c>
    </row>
    <row r="4" spans="1:15" ht="18.75" x14ac:dyDescent="0.25">
      <c r="B4" s="23" t="s">
        <v>23</v>
      </c>
      <c r="C4" s="24" t="s">
        <v>24</v>
      </c>
    </row>
    <row r="5" spans="1:15" ht="18.75" x14ac:dyDescent="0.25">
      <c r="B5" s="23" t="s">
        <v>25</v>
      </c>
      <c r="C5" s="24" t="s">
        <v>26</v>
      </c>
    </row>
    <row r="7" spans="1:15" ht="18.75" x14ac:dyDescent="0.3">
      <c r="A7" s="2" t="s">
        <v>5</v>
      </c>
    </row>
    <row r="8" spans="1:15" ht="18.75" x14ac:dyDescent="0.25">
      <c r="A8" s="21" t="s">
        <v>8</v>
      </c>
      <c r="B8" s="16" t="s">
        <v>27</v>
      </c>
      <c r="C8" s="16"/>
      <c r="D8" s="16"/>
      <c r="E8" s="16"/>
      <c r="F8" s="16"/>
      <c r="G8" s="16"/>
    </row>
    <row r="9" spans="1:15" ht="18.75" x14ac:dyDescent="0.25">
      <c r="A9" s="9" t="s">
        <v>8</v>
      </c>
      <c r="B9" s="16" t="s">
        <v>28</v>
      </c>
      <c r="C9" s="16"/>
      <c r="D9" s="16"/>
      <c r="E9" s="16"/>
      <c r="F9" s="16"/>
      <c r="G9" s="25"/>
    </row>
    <row r="10" spans="1:15" ht="18.75" x14ac:dyDescent="0.3">
      <c r="A10" s="5"/>
      <c r="B10" s="6"/>
      <c r="C10" s="6"/>
    </row>
  </sheetData>
  <mergeCells count="3">
    <mergeCell ref="A1:O1"/>
    <mergeCell ref="B8:G8"/>
    <mergeCell ref="B9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D11" sqref="D11"/>
    </sheetView>
  </sheetViews>
  <sheetFormatPr defaultRowHeight="15" x14ac:dyDescent="0.25"/>
  <cols>
    <col min="2" max="2" width="38.85546875" bestFit="1" customWidth="1"/>
    <col min="3" max="3" width="42" bestFit="1" customWidth="1"/>
  </cols>
  <sheetData>
    <row r="1" spans="1:17" ht="21" x14ac:dyDescent="0.35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17" ht="21" x14ac:dyDescent="0.25">
      <c r="B3" s="26" t="s">
        <v>30</v>
      </c>
      <c r="C3" s="26" t="s">
        <v>31</v>
      </c>
    </row>
    <row r="4" spans="1:17" ht="21" x14ac:dyDescent="0.25">
      <c r="B4" s="27" t="s">
        <v>34</v>
      </c>
      <c r="C4" s="27" t="s">
        <v>35</v>
      </c>
    </row>
    <row r="5" spans="1:17" ht="21" x14ac:dyDescent="0.25">
      <c r="B5" s="27" t="s">
        <v>32</v>
      </c>
      <c r="C5" s="27" t="s">
        <v>33</v>
      </c>
    </row>
    <row r="7" spans="1:17" ht="21" x14ac:dyDescent="0.35">
      <c r="A7" s="8" t="s">
        <v>36</v>
      </c>
    </row>
    <row r="8" spans="1:17" ht="21" x14ac:dyDescent="0.25">
      <c r="A8" s="28" t="s">
        <v>8</v>
      </c>
      <c r="B8" s="16" t="s">
        <v>37</v>
      </c>
      <c r="C8" s="16"/>
    </row>
    <row r="9" spans="1:17" ht="21" x14ac:dyDescent="0.35">
      <c r="A9" s="29" t="s">
        <v>8</v>
      </c>
      <c r="B9" s="16" t="s">
        <v>38</v>
      </c>
      <c r="C9" s="16"/>
    </row>
    <row r="10" spans="1:17" x14ac:dyDescent="0.25">
      <c r="A10" s="5"/>
    </row>
  </sheetData>
  <mergeCells count="3">
    <mergeCell ref="A1:Q1"/>
    <mergeCell ref="B8:C8"/>
    <mergeCell ref="B9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H8" sqref="H8"/>
    </sheetView>
  </sheetViews>
  <sheetFormatPr defaultRowHeight="15" x14ac:dyDescent="0.25"/>
  <sheetData>
    <row r="1" spans="1:17" x14ac:dyDescent="0.25">
      <c r="A1" s="30" t="s">
        <v>39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5" spans="1:17" ht="21" x14ac:dyDescent="0.35">
      <c r="A5" s="7"/>
      <c r="B5" s="7" t="s">
        <v>40</v>
      </c>
      <c r="C5" s="7"/>
    </row>
    <row r="6" spans="1:17" ht="21" x14ac:dyDescent="0.35">
      <c r="A6" s="7"/>
      <c r="B6" s="7"/>
      <c r="C6" s="7"/>
    </row>
    <row r="7" spans="1:17" ht="21" x14ac:dyDescent="0.35">
      <c r="A7" s="8" t="s">
        <v>41</v>
      </c>
      <c r="B7" s="7"/>
      <c r="C7" s="7"/>
    </row>
    <row r="8" spans="1:17" ht="21" x14ac:dyDescent="0.35">
      <c r="A8" s="20"/>
      <c r="B8" s="20" t="s">
        <v>42</v>
      </c>
      <c r="C8" s="7"/>
    </row>
    <row r="9" spans="1:17" ht="21" x14ac:dyDescent="0.35">
      <c r="A9" s="7"/>
      <c r="B9" s="20" t="s">
        <v>43</v>
      </c>
      <c r="C9" s="7"/>
    </row>
    <row r="10" spans="1:17" ht="21" x14ac:dyDescent="0.35">
      <c r="A10" s="7" t="s">
        <v>44</v>
      </c>
      <c r="B10" s="7"/>
      <c r="C10" s="7"/>
    </row>
    <row r="11" spans="1:17" ht="21" x14ac:dyDescent="0.35">
      <c r="A11" s="31" t="s">
        <v>45</v>
      </c>
      <c r="B11" s="7">
        <f>(12-10)/(3/3)</f>
        <v>2</v>
      </c>
      <c r="C11" s="7"/>
    </row>
    <row r="12" spans="1:17" ht="21" x14ac:dyDescent="0.35">
      <c r="A12" s="7" t="s">
        <v>46</v>
      </c>
      <c r="B12" s="7">
        <f xml:space="preserve"> 2.306</f>
        <v>2.306</v>
      </c>
      <c r="C12" s="7"/>
    </row>
    <row r="13" spans="1:17" ht="23.25" x14ac:dyDescent="0.35">
      <c r="A13" s="14" t="s">
        <v>48</v>
      </c>
      <c r="B13" s="7"/>
      <c r="C13" s="7"/>
    </row>
    <row r="14" spans="1:17" ht="21" x14ac:dyDescent="0.25">
      <c r="B14" s="20" t="s">
        <v>47</v>
      </c>
    </row>
  </sheetData>
  <mergeCells count="1">
    <mergeCell ref="A1:Q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G17" sqref="G17"/>
    </sheetView>
  </sheetViews>
  <sheetFormatPr defaultRowHeight="15" x14ac:dyDescent="0.25"/>
  <sheetData>
    <row r="1" spans="1:11" ht="23.25" x14ac:dyDescent="0.35">
      <c r="A1" s="4" t="s">
        <v>49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3.25" x14ac:dyDescent="0.35">
      <c r="A2" s="32" t="s">
        <v>56</v>
      </c>
    </row>
    <row r="3" spans="1:11" ht="21" x14ac:dyDescent="0.35">
      <c r="A3" s="8" t="s">
        <v>50</v>
      </c>
      <c r="B3" s="7"/>
      <c r="C3" s="7"/>
      <c r="D3" s="7"/>
      <c r="E3" s="7"/>
      <c r="F3" s="7"/>
      <c r="G3" s="7"/>
      <c r="H3" s="7"/>
    </row>
    <row r="4" spans="1:11" ht="21" x14ac:dyDescent="0.35">
      <c r="A4" s="20"/>
      <c r="B4" s="20" t="s">
        <v>53</v>
      </c>
      <c r="C4" s="7"/>
      <c r="D4" s="7"/>
      <c r="E4" s="7"/>
      <c r="F4" s="7"/>
      <c r="G4" s="7"/>
      <c r="H4" s="7"/>
    </row>
    <row r="5" spans="1:11" ht="21" x14ac:dyDescent="0.35">
      <c r="B5" s="20" t="s">
        <v>57</v>
      </c>
      <c r="C5" s="7"/>
      <c r="D5" s="7"/>
      <c r="E5" s="7"/>
      <c r="F5" s="7"/>
      <c r="G5" s="7"/>
      <c r="H5" s="7"/>
    </row>
    <row r="6" spans="1:11" ht="21" x14ac:dyDescent="0.35">
      <c r="A6" s="20"/>
      <c r="B6" s="20" t="s">
        <v>51</v>
      </c>
      <c r="C6" s="7"/>
      <c r="D6" s="7"/>
      <c r="E6" s="7"/>
      <c r="F6" s="7"/>
      <c r="G6" s="7"/>
      <c r="H6" s="7"/>
    </row>
    <row r="7" spans="1:11" ht="21" x14ac:dyDescent="0.35">
      <c r="A7" s="8" t="s">
        <v>52</v>
      </c>
      <c r="B7" s="7"/>
      <c r="C7" s="7"/>
      <c r="D7" s="7"/>
      <c r="E7" s="7"/>
      <c r="F7" s="7"/>
      <c r="G7" s="7"/>
      <c r="H7" s="7"/>
    </row>
    <row r="8" spans="1:11" ht="21" x14ac:dyDescent="0.35">
      <c r="B8" s="20" t="s">
        <v>54</v>
      </c>
      <c r="C8" s="7"/>
      <c r="D8" s="7"/>
      <c r="E8" s="7"/>
      <c r="F8" s="7"/>
      <c r="G8" s="7"/>
      <c r="H8" s="7"/>
    </row>
    <row r="9" spans="1:11" ht="21" x14ac:dyDescent="0.35">
      <c r="B9" s="20" t="s">
        <v>55</v>
      </c>
      <c r="C9" s="7"/>
      <c r="D9" s="7"/>
      <c r="E9" s="7"/>
      <c r="F9" s="7"/>
      <c r="G9" s="7"/>
      <c r="H9" s="7"/>
    </row>
    <row r="10" spans="1:11" ht="21" x14ac:dyDescent="0.35">
      <c r="A10" s="7"/>
      <c r="B10" s="7"/>
      <c r="C10" s="7"/>
      <c r="D10" s="7"/>
      <c r="E10" s="7"/>
      <c r="F10" s="7"/>
      <c r="G10" s="7"/>
      <c r="H10" s="7"/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D27" sqref="D27"/>
    </sheetView>
  </sheetViews>
  <sheetFormatPr defaultRowHeight="15" x14ac:dyDescent="0.25"/>
  <cols>
    <col min="2" max="2" width="23.42578125" bestFit="1" customWidth="1"/>
    <col min="3" max="3" width="9.140625" bestFit="1" customWidth="1"/>
  </cols>
  <sheetData>
    <row r="1" spans="1:14" ht="21" x14ac:dyDescent="0.35">
      <c r="A1" s="3" t="s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ht="21" x14ac:dyDescent="0.35">
      <c r="B3" s="33" t="s">
        <v>59</v>
      </c>
      <c r="C3" s="33" t="s">
        <v>60</v>
      </c>
      <c r="D3" s="33" t="s">
        <v>61</v>
      </c>
      <c r="E3" s="35" t="s">
        <v>64</v>
      </c>
    </row>
    <row r="4" spans="1:14" ht="21" x14ac:dyDescent="0.35">
      <c r="B4" s="34">
        <v>1</v>
      </c>
      <c r="C4" s="34">
        <v>50</v>
      </c>
      <c r="D4" s="34">
        <v>55</v>
      </c>
      <c r="E4" s="34">
        <f>D4-C4</f>
        <v>5</v>
      </c>
    </row>
    <row r="5" spans="1:14" ht="21" x14ac:dyDescent="0.35">
      <c r="B5" s="34">
        <v>2</v>
      </c>
      <c r="C5" s="34">
        <v>60</v>
      </c>
      <c r="D5" s="34">
        <v>65</v>
      </c>
      <c r="E5" s="34">
        <f t="shared" ref="E5:E9" si="0">D5-C5</f>
        <v>5</v>
      </c>
    </row>
    <row r="6" spans="1:14" ht="21" x14ac:dyDescent="0.35">
      <c r="B6" s="34">
        <v>3</v>
      </c>
      <c r="C6" s="34">
        <v>58</v>
      </c>
      <c r="D6" s="34">
        <v>59</v>
      </c>
      <c r="E6" s="34">
        <f t="shared" si="0"/>
        <v>1</v>
      </c>
    </row>
    <row r="7" spans="1:14" ht="21" x14ac:dyDescent="0.35">
      <c r="B7" s="34">
        <v>4</v>
      </c>
      <c r="C7" s="34">
        <v>55</v>
      </c>
      <c r="D7" s="34">
        <v>58</v>
      </c>
      <c r="E7" s="34">
        <f t="shared" si="0"/>
        <v>3</v>
      </c>
    </row>
    <row r="8" spans="1:14" ht="21" x14ac:dyDescent="0.35">
      <c r="B8" s="34">
        <v>5</v>
      </c>
      <c r="C8" s="34">
        <v>62</v>
      </c>
      <c r="D8" s="34">
        <v>63</v>
      </c>
      <c r="E8" s="34">
        <f t="shared" si="0"/>
        <v>1</v>
      </c>
    </row>
    <row r="9" spans="1:14" ht="21" x14ac:dyDescent="0.35">
      <c r="B9" s="34">
        <v>6</v>
      </c>
      <c r="C9" s="34">
        <v>56</v>
      </c>
      <c r="D9" s="34">
        <v>59</v>
      </c>
      <c r="E9" s="34">
        <f t="shared" si="0"/>
        <v>3</v>
      </c>
    </row>
    <row r="10" spans="1:14" ht="21" x14ac:dyDescent="0.35">
      <c r="A10" s="3" t="s">
        <v>62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2" spans="1:14" ht="18.75" x14ac:dyDescent="0.3">
      <c r="A12" s="2" t="s">
        <v>56</v>
      </c>
    </row>
    <row r="13" spans="1:14" ht="21" x14ac:dyDescent="0.35">
      <c r="B13" s="6" t="s">
        <v>65</v>
      </c>
      <c r="C13" s="7">
        <v>3</v>
      </c>
    </row>
    <row r="14" spans="1:14" ht="18.75" x14ac:dyDescent="0.3">
      <c r="B14" s="6" t="s">
        <v>66</v>
      </c>
      <c r="C14" s="36">
        <v>1.79</v>
      </c>
      <c r="D14" s="36"/>
      <c r="E14" s="36"/>
      <c r="F14" s="36"/>
    </row>
    <row r="15" spans="1:14" ht="18.75" x14ac:dyDescent="0.3">
      <c r="B15" s="10" t="s">
        <v>67</v>
      </c>
      <c r="C15">
        <v>6</v>
      </c>
    </row>
    <row r="17" spans="2:4" ht="18.75" x14ac:dyDescent="0.3">
      <c r="B17" s="2" t="s">
        <v>68</v>
      </c>
    </row>
    <row r="18" spans="2:4" ht="21" x14ac:dyDescent="0.35">
      <c r="B18" s="31" t="s">
        <v>45</v>
      </c>
      <c r="C18">
        <v>4.1100000000000003</v>
      </c>
    </row>
    <row r="19" spans="2:4" ht="18.75" x14ac:dyDescent="0.3">
      <c r="B19" s="2" t="s">
        <v>69</v>
      </c>
    </row>
    <row r="20" spans="2:4" x14ac:dyDescent="0.25">
      <c r="B20" s="5"/>
    </row>
    <row r="21" spans="2:4" ht="21" x14ac:dyDescent="0.35">
      <c r="B21" s="37" t="s">
        <v>70</v>
      </c>
      <c r="C21" s="7">
        <f xml:space="preserve"> 2.571</f>
        <v>2.5710000000000002</v>
      </c>
      <c r="D21" s="7"/>
    </row>
    <row r="23" spans="2:4" ht="21" x14ac:dyDescent="0.25">
      <c r="B23" s="13" t="s">
        <v>48</v>
      </c>
    </row>
    <row r="24" spans="2:4" ht="21" x14ac:dyDescent="0.25">
      <c r="B24" s="20" t="s">
        <v>71</v>
      </c>
    </row>
  </sheetData>
  <mergeCells count="2">
    <mergeCell ref="A1:N1"/>
    <mergeCell ref="A10:N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D16" sqref="D16"/>
    </sheetView>
  </sheetViews>
  <sheetFormatPr defaultRowHeight="15" x14ac:dyDescent="0.25"/>
  <cols>
    <col min="2" max="2" width="10.140625" bestFit="1" customWidth="1"/>
    <col min="3" max="3" width="18" bestFit="1" customWidth="1"/>
    <col min="4" max="4" width="13.140625" bestFit="1" customWidth="1"/>
    <col min="5" max="5" width="7.42578125" bestFit="1" customWidth="1"/>
  </cols>
  <sheetData>
    <row r="1" spans="1:13" ht="23.25" x14ac:dyDescent="0.35">
      <c r="A1" s="4" t="s">
        <v>72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21" x14ac:dyDescent="0.35">
      <c r="B3" s="33" t="s">
        <v>73</v>
      </c>
      <c r="C3" s="33" t="s">
        <v>74</v>
      </c>
      <c r="D3" s="33" t="s">
        <v>75</v>
      </c>
      <c r="E3" s="33" t="s">
        <v>76</v>
      </c>
    </row>
    <row r="4" spans="1:13" ht="18.75" x14ac:dyDescent="0.3">
      <c r="B4" s="38" t="s">
        <v>77</v>
      </c>
      <c r="C4" s="38">
        <v>30</v>
      </c>
      <c r="D4" s="38">
        <v>20</v>
      </c>
      <c r="E4" s="38">
        <v>50</v>
      </c>
    </row>
    <row r="5" spans="1:13" ht="18.75" x14ac:dyDescent="0.3">
      <c r="B5" s="38" t="s">
        <v>78</v>
      </c>
      <c r="C5" s="38">
        <v>10</v>
      </c>
      <c r="D5" s="38">
        <v>40</v>
      </c>
      <c r="E5" s="38">
        <v>50</v>
      </c>
    </row>
    <row r="6" spans="1:13" ht="18.75" x14ac:dyDescent="0.3">
      <c r="B6" s="38" t="s">
        <v>76</v>
      </c>
      <c r="C6" s="38">
        <v>40</v>
      </c>
      <c r="D6" s="38">
        <v>60</v>
      </c>
      <c r="E6" s="38">
        <v>100</v>
      </c>
    </row>
    <row r="7" spans="1:13" ht="21" x14ac:dyDescent="0.35">
      <c r="A7" s="3" t="s">
        <v>79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1" x14ac:dyDescent="0.35">
      <c r="B8" s="7"/>
      <c r="C8" s="7"/>
      <c r="D8" s="7"/>
      <c r="E8" s="7"/>
    </row>
    <row r="9" spans="1:13" ht="21" x14ac:dyDescent="0.35">
      <c r="B9" s="11" t="s">
        <v>63</v>
      </c>
      <c r="C9" s="7"/>
      <c r="D9" s="7"/>
      <c r="E9" s="7"/>
    </row>
    <row r="10" spans="1:13" ht="21" x14ac:dyDescent="0.35">
      <c r="D10" s="7" t="s">
        <v>80</v>
      </c>
      <c r="E10" s="7"/>
    </row>
    <row r="11" spans="1:13" ht="21" x14ac:dyDescent="0.35">
      <c r="C11" s="7"/>
      <c r="D11" s="7">
        <f>C6*D6/E6</f>
        <v>24</v>
      </c>
      <c r="E11" s="7"/>
    </row>
    <row r="12" spans="1:13" ht="21" x14ac:dyDescent="0.35">
      <c r="C12" s="7" t="s">
        <v>81</v>
      </c>
      <c r="D12" s="7" t="s">
        <v>82</v>
      </c>
    </row>
    <row r="14" spans="1:13" ht="18.75" x14ac:dyDescent="0.3">
      <c r="B14" s="2" t="s">
        <v>83</v>
      </c>
    </row>
    <row r="15" spans="1:13" ht="18.75" x14ac:dyDescent="0.3">
      <c r="C15" s="10" t="s">
        <v>84</v>
      </c>
      <c r="D15">
        <f>(2-1)*(2-1)</f>
        <v>1</v>
      </c>
    </row>
    <row r="16" spans="1:13" ht="18.75" x14ac:dyDescent="0.3">
      <c r="C16" s="10" t="s">
        <v>85</v>
      </c>
      <c r="D16" s="10">
        <v>3.84</v>
      </c>
    </row>
    <row r="17" spans="2:3" ht="21" x14ac:dyDescent="0.25">
      <c r="B17" s="13" t="s">
        <v>86</v>
      </c>
    </row>
    <row r="18" spans="2:3" ht="21" x14ac:dyDescent="0.35">
      <c r="C18" s="7" t="s">
        <v>87</v>
      </c>
    </row>
    <row r="19" spans="2:3" ht="21" x14ac:dyDescent="0.25">
      <c r="B19" s="13" t="s">
        <v>88</v>
      </c>
    </row>
    <row r="20" spans="2:3" ht="18.75" x14ac:dyDescent="0.3">
      <c r="C20" s="6" t="s">
        <v>89</v>
      </c>
    </row>
  </sheetData>
  <mergeCells count="2">
    <mergeCell ref="A1:M1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2026-01-29T08:35:06Z</dcterms:created>
  <dcterms:modified xsi:type="dcterms:W3CDTF">2026-01-29T10:26:56Z</dcterms:modified>
</cp:coreProperties>
</file>