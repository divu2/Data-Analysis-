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\Statistics\"/>
    </mc:Choice>
  </mc:AlternateContent>
  <xr:revisionPtr revIDLastSave="0" documentId="13_ncr:1_{E233BBED-E50B-4210-9B80-7BEB25D7B154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Descriptive Statistics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1" l="1"/>
  <c r="C15" i="11"/>
  <c r="C16" i="11" s="1"/>
  <c r="C12" i="11"/>
  <c r="C10" i="11"/>
  <c r="C8" i="11"/>
  <c r="C6" i="11"/>
  <c r="C9" i="10"/>
  <c r="C7" i="10"/>
  <c r="C8" i="10" s="1"/>
  <c r="C6" i="7"/>
  <c r="C6" i="6"/>
  <c r="C8" i="5"/>
  <c r="C6" i="4" l="1"/>
  <c r="C8" i="3"/>
  <c r="C7" i="3"/>
  <c r="C9" i="3" s="1"/>
  <c r="C15" i="2"/>
  <c r="C12" i="2"/>
  <c r="C9" i="2"/>
</calcChain>
</file>

<file path=xl/sharedStrings.xml><?xml version="1.0" encoding="utf-8"?>
<sst xmlns="http://schemas.openxmlformats.org/spreadsheetml/2006/main" count="96" uniqueCount="85">
  <si>
    <t>Mean</t>
  </si>
  <si>
    <t>Mode</t>
  </si>
  <si>
    <t>Easy Level </t>
  </si>
  <si>
    <t>Q1: Understanding Central Tendency (Easy)</t>
  </si>
  <si>
    <t>A bakery tracks the daily sales of muffins (in dozens) over a week: [10, 12, 11, 15, 14, 13, 12].</t>
  </si>
  <si>
    <t xml:space="preserve"> What is the most representative value of their weekly sales, and why?</t>
  </si>
  <si>
    <t>Mean (Average):</t>
  </si>
  <si>
    <t>Median:</t>
  </si>
  <si>
    <t xml:space="preserve">Mode </t>
  </si>
  <si>
    <t>Mode :</t>
  </si>
  <si>
    <t>Most representative value: 12 dozens</t>
  </si>
  <si>
    <r>
      <t>12 is both the median and the mode</t>
    </r>
    <r>
      <rPr>
        <sz val="18"/>
        <color theme="1"/>
        <rFont val="Calibri"/>
        <family val="2"/>
        <scheme val="minor"/>
      </rPr>
      <t xml:space="preserve">, </t>
    </r>
    <r>
      <rPr>
        <b/>
        <sz val="18"/>
        <color theme="1"/>
        <rFont val="Calibri"/>
        <family val="2"/>
        <scheme val="minor"/>
      </rPr>
      <t>so it represents the typical daily sales</t>
    </r>
  </si>
  <si>
    <t>Q2: Mean in Real Life (Easy)</t>
  </si>
  <si>
    <t xml:space="preserve"> What is the mean score, and what does it tell us about the class’s performance?</t>
  </si>
  <si>
    <t xml:space="preserve"> A teacher records the marks of her students in a short quiz: [12, 15, 14, 16, 18, 20, 19].</t>
  </si>
  <si>
    <t xml:space="preserve">Total sum </t>
  </si>
  <si>
    <t xml:space="preserve">Num Of Student </t>
  </si>
  <si>
    <t xml:space="preserve">Measn Average </t>
  </si>
  <si>
    <t>What it tells us:</t>
  </si>
  <si>
    <r>
      <t xml:space="preserve">This mean shows that the </t>
    </r>
    <r>
      <rPr>
        <b/>
        <sz val="11"/>
        <color theme="1"/>
        <rFont val="Calibri"/>
        <family val="2"/>
        <scheme val="minor"/>
      </rPr>
      <t>overall class performance is good</t>
    </r>
    <r>
      <rPr>
        <sz val="11"/>
        <color theme="1"/>
        <rFont val="Calibri"/>
        <family val="2"/>
        <scheme val="minor"/>
      </rPr>
      <t>, with most students scoring around 16 marks on average.</t>
    </r>
  </si>
  <si>
    <r>
      <t>The</t>
    </r>
    <r>
      <rPr>
        <b/>
        <sz val="18"/>
        <color theme="1"/>
        <rFont val="Calibri"/>
        <family val="2"/>
        <scheme val="minor"/>
      </rPr>
      <t xml:space="preserve"> mean score is 16.28 marks</t>
    </r>
    <r>
      <rPr>
        <sz val="18"/>
        <color theme="1"/>
        <rFont val="Calibri"/>
        <family val="2"/>
        <scheme val="minor"/>
      </rPr>
      <t>.</t>
    </r>
  </si>
  <si>
    <t>Q3: Mode in Real Life (Easy)</t>
  </si>
  <si>
    <t>A store records the shoe sizes sold in one day: [7, 8, 9, 8, 8, 10, 7, 9].</t>
  </si>
  <si>
    <t>What is the mode, and why is this information useful for the store manager?</t>
  </si>
  <si>
    <t>Answer</t>
  </si>
  <si>
    <r>
      <t xml:space="preserve">The </t>
    </r>
    <r>
      <rPr>
        <b/>
        <sz val="16"/>
        <color theme="1"/>
        <rFont val="Calibri"/>
        <family val="2"/>
        <scheme val="minor"/>
      </rPr>
      <t>mode is 8</t>
    </r>
    <r>
      <rPr>
        <sz val="16"/>
        <color theme="1"/>
        <rFont val="Calibri"/>
        <family val="2"/>
        <scheme val="minor"/>
      </rPr>
      <t>, as it occurs most frequently.</t>
    </r>
  </si>
  <si>
    <r>
      <t xml:space="preserve">This information helps the store manager know that </t>
    </r>
    <r>
      <rPr>
        <b/>
        <sz val="11"/>
        <color theme="1"/>
        <rFont val="Calibri"/>
        <family val="2"/>
        <scheme val="minor"/>
      </rPr>
      <t>shoe size 8 is in highest demand</t>
    </r>
    <r>
      <rPr>
        <sz val="11"/>
        <color theme="1"/>
        <rFont val="Calibri"/>
        <family val="2"/>
        <scheme val="minor"/>
      </rPr>
      <t>, so more stock of this size should be kept.</t>
    </r>
  </si>
  <si>
    <t>Medium Level </t>
  </si>
  <si>
    <t>Q4: Median in Real Life (Medium)</t>
  </si>
  <si>
    <t>A car dealer notes the prices of used cars: [$8,000, $9,500, $10,200, $11,000, $50,000].</t>
  </si>
  <si>
    <t>Why is the median a better measure than the mean in this case? Calculate the median.</t>
  </si>
  <si>
    <t xml:space="preserve">Median </t>
  </si>
  <si>
    <t>Why median is better than mean:</t>
  </si>
  <si>
    <r>
      <t>Because $50,000 is an extreme value (outlier)</t>
    </r>
    <r>
      <rPr>
        <sz val="16"/>
        <color theme="1"/>
        <rFont val="Calibri"/>
        <family val="2"/>
        <scheme val="minor"/>
      </rPr>
      <t>, it increases the mean and does not represent typical car prices. The median gives a more realistic measure of the central value.</t>
    </r>
  </si>
  <si>
    <r>
      <t>The median price is $10,200</t>
    </r>
    <r>
      <rPr>
        <sz val="16"/>
        <color theme="1"/>
        <rFont val="Calibri"/>
        <family val="2"/>
        <scheme val="minor"/>
      </rPr>
      <t>.</t>
    </r>
  </si>
  <si>
    <t>Q5: Dispersion Introduction (Medium)</t>
  </si>
  <si>
    <t>A student times how long it takes to finish a puzzle each day: [25, 30, 27, 35, 40]</t>
  </si>
  <si>
    <t xml:space="preserve">What does the range tell us about the variation in the student’s puzzle-solving time? </t>
  </si>
  <si>
    <t xml:space="preserve">Range </t>
  </si>
  <si>
    <r>
      <t>This shows that there is variation in the student’s puzzle-solving time</t>
    </r>
    <r>
      <rPr>
        <sz val="16"/>
        <color theme="1"/>
        <rFont val="Calibri"/>
        <family val="2"/>
        <scheme val="minor"/>
      </rPr>
      <t>, meaning the performance is not completely consistent from day to day.</t>
    </r>
  </si>
  <si>
    <r>
      <t>The</t>
    </r>
    <r>
      <rPr>
        <b/>
        <sz val="18"/>
        <color theme="1"/>
        <rFont val="Calibri"/>
        <family val="2"/>
        <scheme val="minor"/>
      </rPr>
      <t xml:space="preserve"> range is 15 minutes</t>
    </r>
    <r>
      <rPr>
        <sz val="11"/>
        <color theme="1"/>
        <rFont val="Calibri"/>
        <family val="2"/>
        <scheme val="minor"/>
      </rPr>
      <t>.</t>
    </r>
  </si>
  <si>
    <t>Q6: Range in Action (Medium)</t>
  </si>
  <si>
    <t>A farmer records the weekly weight of harvested apples (kg): [100, 105, 98, 110, 120]</t>
  </si>
  <si>
    <t>Find the range. How can this help the farmer in planning his packaging?</t>
  </si>
  <si>
    <t>Kg</t>
  </si>
  <si>
    <t>How this helps the farmer:</t>
  </si>
  <si>
    <r>
      <t xml:space="preserve">The </t>
    </r>
    <r>
      <rPr>
        <b/>
        <sz val="14"/>
        <color theme="1"/>
        <rFont val="Calibri"/>
        <family val="2"/>
        <scheme val="minor"/>
      </rPr>
      <t>range is 22 kg</t>
    </r>
    <r>
      <rPr>
        <sz val="14"/>
        <color theme="1"/>
        <rFont val="Calibri"/>
        <family val="2"/>
        <scheme val="minor"/>
      </rPr>
      <t>.</t>
    </r>
  </si>
  <si>
    <r>
      <t xml:space="preserve">This shows the </t>
    </r>
    <r>
      <rPr>
        <b/>
        <sz val="14"/>
        <color theme="1"/>
        <rFont val="Calibri"/>
        <family val="2"/>
        <scheme val="minor"/>
      </rPr>
      <t>variation in weekly harvest</t>
    </r>
    <r>
      <rPr>
        <sz val="14"/>
        <color theme="1"/>
        <rFont val="Calibri"/>
        <family val="2"/>
        <scheme val="minor"/>
      </rPr>
      <t xml:space="preserve">, which helps the farmer plan </t>
    </r>
    <r>
      <rPr>
        <b/>
        <sz val="14"/>
        <color theme="1"/>
        <rFont val="Calibri"/>
        <family val="2"/>
        <scheme val="minor"/>
      </rPr>
      <t>packaging, storage, and transportation</t>
    </r>
    <r>
      <rPr>
        <sz val="14"/>
        <color theme="1"/>
        <rFont val="Calibri"/>
        <family val="2"/>
        <scheme val="minor"/>
      </rPr>
      <t xml:space="preserve"> according to changes in yield</t>
    </r>
  </si>
  <si>
    <t>Q7: Variance for Decision-Making (Medium)</t>
  </si>
  <si>
    <t>Two delivery companies track delivery delays (in minutes)</t>
  </si>
  <si>
    <t>Company A: variance = 6</t>
  </si>
  <si>
    <t>Company B: variance = 15</t>
  </si>
  <si>
    <t>Which company is more consistent, and why?</t>
  </si>
  <si>
    <t>Company A is more consistent.</t>
  </si>
  <si>
    <t>Why?</t>
  </si>
  <si>
    <t>Variance measures how much the data varies from the average.</t>
  </si>
  <si>
    <t>Since Company A has a smaller variance (6) compared to Company B (15), its delivery delays are more consistent.</t>
  </si>
  <si>
    <r>
      <t xml:space="preserve">A </t>
    </r>
    <r>
      <rPr>
        <b/>
        <sz val="16"/>
        <color theme="1"/>
        <rFont val="Calibri"/>
        <family val="2"/>
        <scheme val="minor"/>
      </rPr>
      <t>lower variance</t>
    </r>
    <r>
      <rPr>
        <sz val="16"/>
        <color theme="1"/>
        <rFont val="Calibri"/>
        <family val="2"/>
        <scheme val="minor"/>
      </rPr>
      <t xml:space="preserve"> means </t>
    </r>
    <r>
      <rPr>
        <b/>
        <sz val="16"/>
        <color theme="1"/>
        <rFont val="Calibri"/>
        <family val="2"/>
        <scheme val="minor"/>
      </rPr>
      <t>less variation</t>
    </r>
    <r>
      <rPr>
        <sz val="16"/>
        <color theme="1"/>
        <rFont val="Calibri"/>
        <family val="2"/>
        <scheme val="minor"/>
      </rPr>
      <t xml:space="preserve"> and </t>
    </r>
    <r>
      <rPr>
        <b/>
        <sz val="16"/>
        <color theme="1"/>
        <rFont val="Calibri"/>
        <family val="2"/>
        <scheme val="minor"/>
      </rPr>
      <t>more consistent performance</t>
    </r>
    <r>
      <rPr>
        <sz val="16"/>
        <color theme="1"/>
        <rFont val="Calibri"/>
        <family val="2"/>
        <scheme val="minor"/>
      </rPr>
      <t>.</t>
    </r>
  </si>
  <si>
    <t>Hard Level </t>
  </si>
  <si>
    <t>Q8: Standard Deviation in Context (Hard)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</si>
  <si>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</si>
  <si>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</si>
  <si>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</si>
  <si>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</si>
  <si>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Coin B is riskier to invest in.</t>
  </si>
  <si>
    <t>Standard deviation measures how much prices fluctuate from the average.</t>
  </si>
  <si>
    <t>Since Coin B has a much higher standard deviation ($120) compared to Coin A ($30), it is more volatile and riskier.</t>
  </si>
  <si>
    <r>
      <t xml:space="preserve">A </t>
    </r>
    <r>
      <rPr>
        <b/>
        <sz val="16"/>
        <color theme="1"/>
        <rFont val="Calibri"/>
        <family val="2"/>
        <scheme val="minor"/>
      </rPr>
      <t>higher standard deviation</t>
    </r>
    <r>
      <rPr>
        <sz val="16"/>
        <color theme="1"/>
        <rFont val="Calibri"/>
        <family val="2"/>
        <scheme val="minor"/>
      </rPr>
      <t xml:space="preserve"> means </t>
    </r>
    <r>
      <rPr>
        <b/>
        <sz val="16"/>
        <color theme="1"/>
        <rFont val="Calibri"/>
        <family val="2"/>
        <scheme val="minor"/>
      </rPr>
      <t>greater price fluctuations</t>
    </r>
    <r>
      <rPr>
        <sz val="16"/>
        <color theme="1"/>
        <rFont val="Calibri"/>
        <family val="2"/>
        <scheme val="minor"/>
      </rPr>
      <t xml:space="preserve"> and </t>
    </r>
    <r>
      <rPr>
        <b/>
        <sz val="16"/>
        <color theme="1"/>
        <rFont val="Calibri"/>
        <family val="2"/>
        <scheme val="minor"/>
      </rPr>
      <t>higher risk</t>
    </r>
    <r>
      <rPr>
        <sz val="16"/>
        <color theme="1"/>
        <rFont val="Calibri"/>
        <family val="2"/>
        <scheme val="minor"/>
      </rPr>
      <t>.</t>
    </r>
  </si>
  <si>
    <t>Q9: Combining Measures (Hard)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</si>
  <si>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</si>
  <si>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</si>
  <si>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 xml:space="preserve">Standard Deviation </t>
  </si>
  <si>
    <t>kWh</t>
  </si>
  <si>
    <t>Mean electricity usage = 414 kWh</t>
  </si>
  <si>
    <t>Standard deviation ≈ 21.5 kWh</t>
  </si>
  <si>
    <t>What these values tell us:</t>
  </si>
  <si>
    <r>
      <t xml:space="preserve">The family’s electricity usage is </t>
    </r>
    <r>
      <rPr>
        <b/>
        <sz val="14"/>
        <color theme="1"/>
        <rFont val="Calibri"/>
        <family val="2"/>
        <scheme val="minor"/>
      </rPr>
      <t>fairly consistent</t>
    </r>
    <r>
      <rPr>
        <sz val="14"/>
        <color theme="1"/>
        <rFont val="Calibri"/>
        <family val="2"/>
        <scheme val="minor"/>
      </rPr>
      <t>, with no extreme fluctuations. Monthly consumption stays close to the average.</t>
    </r>
  </si>
  <si>
    <t>Q10: Practical Application (Hard)</t>
  </si>
  <si>
    <t>A basketball player’s points in 8 games are recorded: [15, 18, 20, 22, 25, 17, 19, 21]</t>
  </si>
  <si>
    <t>Find the mean, median, mode, range, and standard deviation. What insights can these measures provide about the player’s scoring performance?</t>
  </si>
  <si>
    <t xml:space="preserve">Mdeian </t>
  </si>
  <si>
    <t>sum of all numbers (used to calculate mean)</t>
  </si>
  <si>
    <t>mean itself</t>
  </si>
  <si>
    <t>standard deviation</t>
  </si>
  <si>
    <r>
      <t>Mean = 19.63, Median = 19.50, Mode = No Mode, Range = 10, Standard Deviation ≈ 3.11</t>
    </r>
    <r>
      <rPr>
        <sz val="16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</si>
</sst>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2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466724</xdr:colOff>
      <xdr:row>1</xdr:row>
      <xdr:rowOff>74294</xdr:rowOff>
    </xdr:from>
    <xdr:to>
      <xdr:col>19</xdr:col>
      <xdr:colOff>55723</xdr:colOff>
      <xdr:row>24</xdr:row>
      <xdr:rowOff>150495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6084" y="257174"/>
          <a:ext cx="8961599" cy="4282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C12" sqref="C12"/>
    </sheetView>
  </sheetViews>
  <sheetFormatPr defaultColWidth="9.109375" defaultRowHeight="14.4" x14ac:dyDescent="0.3"/>
  <cols>
    <col min="1" max="16384" width="9.109375" style="18"/>
  </cols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selection activeCell="C15" sqref="C15"/>
    </sheetView>
  </sheetViews>
  <sheetFormatPr defaultRowHeight="14.4" x14ac:dyDescent="0.3"/>
  <sheetData>
    <row r="1" spans="1:16" ht="23.4" x14ac:dyDescent="0.45">
      <c r="A1" s="19" t="s">
        <v>2</v>
      </c>
      <c r="B1" s="19"/>
    </row>
    <row r="2" spans="1:16" ht="23.4" x14ac:dyDescent="0.45">
      <c r="A2" s="19" t="s">
        <v>3</v>
      </c>
      <c r="B2" s="19"/>
      <c r="C2" s="19"/>
      <c r="D2" s="19"/>
      <c r="E2" s="19"/>
      <c r="F2" s="19"/>
      <c r="G2" s="19"/>
      <c r="H2" s="19"/>
      <c r="I2" s="5"/>
      <c r="J2" s="5"/>
      <c r="K2" s="5"/>
      <c r="L2" s="5"/>
      <c r="M2" s="5"/>
      <c r="N2" s="5"/>
      <c r="O2" s="5"/>
      <c r="P2" s="5"/>
    </row>
    <row r="3" spans="1:16" ht="23.4" x14ac:dyDescent="0.45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23.4" x14ac:dyDescent="0.45">
      <c r="A4" s="19" t="s">
        <v>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5"/>
      <c r="N4" s="5"/>
      <c r="O4" s="5"/>
      <c r="P4" s="5"/>
    </row>
    <row r="6" spans="1:16" ht="30.75" customHeight="1" x14ac:dyDescent="0.4">
      <c r="B6" s="3">
        <v>10</v>
      </c>
      <c r="C6" s="3">
        <v>12</v>
      </c>
      <c r="D6" s="3">
        <v>11</v>
      </c>
      <c r="E6" s="3">
        <v>15</v>
      </c>
      <c r="F6" s="3">
        <v>14</v>
      </c>
      <c r="G6" s="3">
        <v>13</v>
      </c>
      <c r="H6" s="3">
        <v>12</v>
      </c>
      <c r="I6" s="3"/>
    </row>
    <row r="8" spans="1:16" ht="23.4" x14ac:dyDescent="0.45">
      <c r="A8" s="19" t="s">
        <v>6</v>
      </c>
      <c r="B8" s="19"/>
      <c r="C8" s="19"/>
    </row>
    <row r="9" spans="1:16" ht="18" x14ac:dyDescent="0.35">
      <c r="C9" s="6">
        <f>AVERAGE(B6:H6)</f>
        <v>12.428571428571429</v>
      </c>
    </row>
    <row r="11" spans="1:16" ht="23.4" x14ac:dyDescent="0.45">
      <c r="A11" s="19" t="s">
        <v>7</v>
      </c>
      <c r="B11" s="19"/>
      <c r="C11" s="19"/>
    </row>
    <row r="12" spans="1:16" ht="18" x14ac:dyDescent="0.35">
      <c r="C12" s="6">
        <f>MEDIAN(B6:H6)</f>
        <v>12</v>
      </c>
    </row>
    <row r="14" spans="1:16" ht="23.4" x14ac:dyDescent="0.45">
      <c r="A14" s="19" t="s">
        <v>9</v>
      </c>
      <c r="B14" s="19"/>
      <c r="C14" s="19"/>
    </row>
    <row r="15" spans="1:16" ht="18" x14ac:dyDescent="0.35">
      <c r="C15" s="6">
        <f>_xlfn.MODE.SNGL(B6:H6)</f>
        <v>12</v>
      </c>
    </row>
    <row r="17" spans="1:14" ht="23.4" x14ac:dyDescent="0.45">
      <c r="A17" s="19" t="s">
        <v>10</v>
      </c>
      <c r="B17" s="19"/>
      <c r="C17" s="19"/>
      <c r="D17" s="19"/>
      <c r="E17" s="19"/>
      <c r="F17" s="19"/>
      <c r="G17" s="19"/>
    </row>
    <row r="19" spans="1:14" ht="23.4" x14ac:dyDescent="0.45">
      <c r="A19" s="19" t="s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</sheetData>
  <mergeCells count="9">
    <mergeCell ref="A1:B1"/>
    <mergeCell ref="A8:C8"/>
    <mergeCell ref="A11:C11"/>
    <mergeCell ref="A14:C14"/>
    <mergeCell ref="A17:G17"/>
    <mergeCell ref="A19:N19"/>
    <mergeCell ref="A2:H2"/>
    <mergeCell ref="A3:P3"/>
    <mergeCell ref="A4:L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C18" sqref="C18"/>
    </sheetView>
  </sheetViews>
  <sheetFormatPr defaultRowHeight="14.4" x14ac:dyDescent="0.3"/>
  <cols>
    <col min="2" max="2" width="15.88671875" bestFit="1" customWidth="1"/>
  </cols>
  <sheetData>
    <row r="1" spans="1:8" ht="18" x14ac:dyDescent="0.35">
      <c r="A1" s="2" t="s">
        <v>12</v>
      </c>
    </row>
    <row r="2" spans="1:8" ht="18" x14ac:dyDescent="0.35">
      <c r="A2" s="2" t="s">
        <v>14</v>
      </c>
    </row>
    <row r="3" spans="1:8" ht="18" x14ac:dyDescent="0.35">
      <c r="A3" s="2" t="s">
        <v>13</v>
      </c>
    </row>
    <row r="5" spans="1:8" x14ac:dyDescent="0.3">
      <c r="B5">
        <v>12</v>
      </c>
      <c r="C5">
        <v>15</v>
      </c>
      <c r="D5">
        <v>14</v>
      </c>
      <c r="E5">
        <v>16</v>
      </c>
      <c r="F5">
        <v>18</v>
      </c>
      <c r="G5">
        <v>20</v>
      </c>
      <c r="H5">
        <v>19</v>
      </c>
    </row>
    <row r="7" spans="1:8" x14ac:dyDescent="0.3">
      <c r="B7" t="s">
        <v>15</v>
      </c>
      <c r="C7">
        <f>SUM(B5:H5)</f>
        <v>114</v>
      </c>
    </row>
    <row r="8" spans="1:8" x14ac:dyDescent="0.3">
      <c r="B8" t="s">
        <v>16</v>
      </c>
      <c r="C8">
        <f>COUNT(B5:H5)</f>
        <v>7</v>
      </c>
    </row>
    <row r="9" spans="1:8" x14ac:dyDescent="0.3">
      <c r="B9" t="s">
        <v>17</v>
      </c>
      <c r="C9">
        <f>C7/C8</f>
        <v>16.285714285714285</v>
      </c>
    </row>
    <row r="11" spans="1:8" ht="23.4" x14ac:dyDescent="0.45">
      <c r="A11" s="2" t="s">
        <v>20</v>
      </c>
    </row>
    <row r="12" spans="1:8" ht="18" x14ac:dyDescent="0.35">
      <c r="A12" s="2"/>
    </row>
    <row r="13" spans="1:8" ht="18" x14ac:dyDescent="0.35">
      <c r="A13" s="2" t="s">
        <v>18</v>
      </c>
    </row>
    <row r="14" spans="1:8" ht="18" x14ac:dyDescent="0.35">
      <c r="A14" s="2" t="s">
        <v>19</v>
      </c>
    </row>
    <row r="15" spans="1:8" ht="18" x14ac:dyDescent="0.35">
      <c r="A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E29" sqref="E29"/>
    </sheetView>
  </sheetViews>
  <sheetFormatPr defaultRowHeight="14.4" x14ac:dyDescent="0.3"/>
  <sheetData>
    <row r="1" spans="1:9" ht="18" x14ac:dyDescent="0.35">
      <c r="A1" s="2" t="s">
        <v>21</v>
      </c>
    </row>
    <row r="2" spans="1:9" ht="18" x14ac:dyDescent="0.35">
      <c r="A2" s="2" t="s">
        <v>22</v>
      </c>
    </row>
    <row r="3" spans="1:9" ht="18" x14ac:dyDescent="0.35">
      <c r="A3" s="2" t="s">
        <v>23</v>
      </c>
    </row>
    <row r="5" spans="1:9" ht="23.4" x14ac:dyDescent="0.45">
      <c r="B5" s="9">
        <v>7</v>
      </c>
      <c r="C5" s="9">
        <v>8</v>
      </c>
      <c r="D5" s="9">
        <v>9</v>
      </c>
      <c r="E5" s="9">
        <v>8</v>
      </c>
      <c r="F5" s="9">
        <v>8</v>
      </c>
      <c r="G5" s="9">
        <v>10</v>
      </c>
      <c r="H5" s="9">
        <v>7</v>
      </c>
      <c r="I5" s="9">
        <v>9</v>
      </c>
    </row>
    <row r="6" spans="1:9" ht="23.4" x14ac:dyDescent="0.45">
      <c r="B6" s="4" t="s">
        <v>1</v>
      </c>
      <c r="C6" s="4">
        <f>MODE(B5:I5)</f>
        <v>8</v>
      </c>
    </row>
    <row r="8" spans="1:9" ht="18" x14ac:dyDescent="0.35">
      <c r="A8" s="2" t="s">
        <v>24</v>
      </c>
    </row>
    <row r="10" spans="1:9" ht="21" x14ac:dyDescent="0.4">
      <c r="A10" s="8" t="s">
        <v>25</v>
      </c>
    </row>
    <row r="11" spans="1:9" ht="21" x14ac:dyDescent="0.4">
      <c r="A11" s="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>
      <selection activeCell="F21" sqref="F21"/>
    </sheetView>
  </sheetViews>
  <sheetFormatPr defaultRowHeight="14.4" x14ac:dyDescent="0.3"/>
  <cols>
    <col min="2" max="2" width="13" bestFit="1" customWidth="1"/>
    <col min="3" max="3" width="9.88671875" bestFit="1" customWidth="1"/>
  </cols>
  <sheetData>
    <row r="1" spans="1:17" ht="21" x14ac:dyDescent="0.4">
      <c r="A1" s="3" t="s">
        <v>27</v>
      </c>
    </row>
    <row r="2" spans="1:17" ht="21" x14ac:dyDescent="0.4">
      <c r="A2" s="3"/>
    </row>
    <row r="3" spans="1:17" ht="21" x14ac:dyDescent="0.4">
      <c r="A3" s="20" t="s">
        <v>28</v>
      </c>
      <c r="B3" s="20"/>
      <c r="C3" s="20"/>
      <c r="D3" s="20"/>
      <c r="E3" s="20"/>
      <c r="F3" s="20"/>
      <c r="G3" s="20"/>
    </row>
    <row r="4" spans="1:17" ht="21" x14ac:dyDescent="0.4">
      <c r="A4" s="20" t="s">
        <v>29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7" ht="21" x14ac:dyDescent="0.4">
      <c r="A5" s="20" t="s">
        <v>30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7" spans="1:17" x14ac:dyDescent="0.3">
      <c r="B7">
        <v>8000</v>
      </c>
      <c r="C7">
        <v>9500</v>
      </c>
      <c r="D7">
        <v>10200</v>
      </c>
      <c r="E7">
        <v>11000</v>
      </c>
      <c r="F7">
        <v>50000</v>
      </c>
    </row>
    <row r="8" spans="1:17" ht="23.4" x14ac:dyDescent="0.45">
      <c r="B8" s="4" t="s">
        <v>31</v>
      </c>
      <c r="C8" s="4">
        <f>MEDIAN(B7:F7)</f>
        <v>10200</v>
      </c>
    </row>
    <row r="10" spans="1:17" ht="21" x14ac:dyDescent="0.4">
      <c r="A10" s="20" t="s">
        <v>34</v>
      </c>
      <c r="B10" s="20"/>
      <c r="C10" s="20"/>
      <c r="D10" s="20"/>
      <c r="E10" s="20"/>
      <c r="F10" s="20"/>
      <c r="G10" s="20"/>
    </row>
    <row r="11" spans="1:17" ht="21" x14ac:dyDescent="0.4">
      <c r="A11" s="10"/>
      <c r="B11" s="10"/>
      <c r="C11" s="10"/>
      <c r="D11" s="10"/>
      <c r="E11" s="10"/>
      <c r="F11" s="10"/>
      <c r="G11" s="10"/>
    </row>
    <row r="12" spans="1:17" ht="21" x14ac:dyDescent="0.4">
      <c r="A12" s="20" t="s">
        <v>32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7" ht="21" x14ac:dyDescent="0.4">
      <c r="A13" s="21" t="s">
        <v>33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3"/>
    </row>
    <row r="14" spans="1:17" ht="27.7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</sheetData>
  <mergeCells count="6">
    <mergeCell ref="A3:G3"/>
    <mergeCell ref="A4:M4"/>
    <mergeCell ref="A5:M5"/>
    <mergeCell ref="A12:M12"/>
    <mergeCell ref="A13:P14"/>
    <mergeCell ref="A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workbookViewId="0">
      <selection activeCell="C6" sqref="C6"/>
    </sheetView>
  </sheetViews>
  <sheetFormatPr defaultRowHeight="14.4" x14ac:dyDescent="0.3"/>
  <sheetData>
    <row r="1" spans="1:16" ht="21" x14ac:dyDescent="0.4">
      <c r="A1" s="20" t="s">
        <v>35</v>
      </c>
      <c r="B1" s="20"/>
      <c r="C1" s="20"/>
      <c r="D1" s="20"/>
      <c r="E1" s="20"/>
      <c r="F1" s="20"/>
    </row>
    <row r="2" spans="1:16" ht="21" x14ac:dyDescent="0.4">
      <c r="A2" s="20" t="s">
        <v>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6" ht="21" x14ac:dyDescent="0.4">
      <c r="A3" s="20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1:16" ht="18" x14ac:dyDescent="0.35">
      <c r="B5" s="7">
        <v>25</v>
      </c>
      <c r="C5" s="7">
        <v>30</v>
      </c>
      <c r="D5" s="7">
        <v>27</v>
      </c>
      <c r="E5" s="7">
        <v>35</v>
      </c>
      <c r="F5" s="7">
        <v>40</v>
      </c>
      <c r="G5" s="7"/>
    </row>
    <row r="6" spans="1:16" ht="18" x14ac:dyDescent="0.35">
      <c r="B6" s="2" t="s">
        <v>38</v>
      </c>
      <c r="C6" s="7">
        <f>MAX(B5:F5)-MIN(B5:F5)</f>
        <v>15</v>
      </c>
      <c r="D6" s="7"/>
      <c r="E6" s="7"/>
      <c r="F6" s="7"/>
      <c r="G6" s="7"/>
    </row>
    <row r="8" spans="1:16" ht="23.4" x14ac:dyDescent="0.45">
      <c r="A8" s="20" t="s">
        <v>40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10" spans="1:16" ht="21" x14ac:dyDescent="0.4">
      <c r="A10" s="20" t="s">
        <v>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6" ht="21" x14ac:dyDescent="0.4">
      <c r="A11" s="22" t="s">
        <v>39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</sheetData>
  <mergeCells count="6">
    <mergeCell ref="A11:P11"/>
    <mergeCell ref="A1:F1"/>
    <mergeCell ref="A2:N2"/>
    <mergeCell ref="A3:M3"/>
    <mergeCell ref="A8:M8"/>
    <mergeCell ref="A10: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H30" sqref="H30"/>
    </sheetView>
  </sheetViews>
  <sheetFormatPr defaultRowHeight="14.4" x14ac:dyDescent="0.3"/>
  <sheetData>
    <row r="1" spans="1:6" ht="18" x14ac:dyDescent="0.35">
      <c r="A1" s="2" t="s">
        <v>41</v>
      </c>
    </row>
    <row r="2" spans="1:6" ht="18" x14ac:dyDescent="0.35">
      <c r="A2" s="2" t="s">
        <v>42</v>
      </c>
    </row>
    <row r="3" spans="1:6" ht="18" x14ac:dyDescent="0.35">
      <c r="A3" s="2" t="s">
        <v>43</v>
      </c>
    </row>
    <row r="5" spans="1:6" x14ac:dyDescent="0.3">
      <c r="B5">
        <v>100</v>
      </c>
      <c r="C5">
        <v>105</v>
      </c>
      <c r="D5">
        <v>98</v>
      </c>
      <c r="E5">
        <v>110</v>
      </c>
      <c r="F5">
        <v>120</v>
      </c>
    </row>
    <row r="6" spans="1:6" x14ac:dyDescent="0.3">
      <c r="B6" t="s">
        <v>38</v>
      </c>
      <c r="C6">
        <f>MAX(B5:F5)-MIN(B5:F5)</f>
        <v>22</v>
      </c>
      <c r="D6" t="s">
        <v>44</v>
      </c>
    </row>
    <row r="8" spans="1:6" ht="18" x14ac:dyDescent="0.3">
      <c r="A8" s="11" t="s">
        <v>24</v>
      </c>
    </row>
    <row r="9" spans="1:6" ht="18" x14ac:dyDescent="0.35">
      <c r="A9" s="7" t="s">
        <v>46</v>
      </c>
    </row>
    <row r="11" spans="1:6" ht="18" x14ac:dyDescent="0.35">
      <c r="A11" s="2" t="s">
        <v>45</v>
      </c>
    </row>
    <row r="12" spans="1:6" ht="18" x14ac:dyDescent="0.35">
      <c r="A12" s="7" t="s">
        <v>47</v>
      </c>
    </row>
    <row r="13" spans="1:6" ht="18" x14ac:dyDescent="0.35">
      <c r="A1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workbookViewId="0">
      <selection activeCell="H17" sqref="H17"/>
    </sheetView>
  </sheetViews>
  <sheetFormatPr defaultRowHeight="14.4" x14ac:dyDescent="0.3"/>
  <sheetData>
    <row r="1" spans="1:1" ht="18" x14ac:dyDescent="0.35">
      <c r="A1" s="2" t="s">
        <v>48</v>
      </c>
    </row>
    <row r="2" spans="1:1" ht="18" x14ac:dyDescent="0.35">
      <c r="A2" s="2" t="s">
        <v>49</v>
      </c>
    </row>
    <row r="3" spans="1:1" ht="18" x14ac:dyDescent="0.35">
      <c r="A3" s="2" t="s">
        <v>50</v>
      </c>
    </row>
    <row r="4" spans="1:1" ht="18" x14ac:dyDescent="0.35">
      <c r="A4" s="2" t="s">
        <v>51</v>
      </c>
    </row>
    <row r="5" spans="1:1" ht="18" x14ac:dyDescent="0.35">
      <c r="A5" s="2" t="s">
        <v>52</v>
      </c>
    </row>
    <row r="7" spans="1:1" ht="21" x14ac:dyDescent="0.3">
      <c r="A7" s="12" t="s">
        <v>24</v>
      </c>
    </row>
    <row r="8" spans="1:1" ht="21" x14ac:dyDescent="0.4">
      <c r="A8" s="3" t="s">
        <v>53</v>
      </c>
    </row>
    <row r="9" spans="1:1" ht="21" x14ac:dyDescent="0.4">
      <c r="A9" s="3" t="s">
        <v>54</v>
      </c>
    </row>
    <row r="10" spans="1:1" ht="21" x14ac:dyDescent="0.4">
      <c r="A10" s="8" t="s">
        <v>55</v>
      </c>
    </row>
    <row r="11" spans="1:1" ht="21" x14ac:dyDescent="0.4">
      <c r="A11" s="8" t="s">
        <v>57</v>
      </c>
    </row>
    <row r="12" spans="1:1" ht="21" x14ac:dyDescent="0.4">
      <c r="A12" s="8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5"/>
  <sheetViews>
    <sheetView workbookViewId="0">
      <selection activeCell="E10" sqref="E10"/>
    </sheetView>
  </sheetViews>
  <sheetFormatPr defaultRowHeight="14.4" x14ac:dyDescent="0.3"/>
  <sheetData>
    <row r="1" spans="1:1" ht="18" x14ac:dyDescent="0.35">
      <c r="A1" s="2" t="s">
        <v>58</v>
      </c>
    </row>
    <row r="2" spans="1:1" ht="18" x14ac:dyDescent="0.35">
      <c r="A2" s="2"/>
    </row>
    <row r="3" spans="1:1" ht="18" x14ac:dyDescent="0.35">
      <c r="A3" s="2" t="s">
        <v>59</v>
      </c>
    </row>
    <row r="4" spans="1:1" ht="18" x14ac:dyDescent="0.35">
      <c r="A4" s="2" t="s">
        <v>60</v>
      </c>
    </row>
    <row r="5" spans="1:1" ht="18" x14ac:dyDescent="0.35">
      <c r="A5" s="2" t="s">
        <v>61</v>
      </c>
    </row>
    <row r="6" spans="1:1" ht="18" x14ac:dyDescent="0.35">
      <c r="A6" s="2" t="s">
        <v>62</v>
      </c>
    </row>
    <row r="7" spans="1:1" ht="18" x14ac:dyDescent="0.35">
      <c r="A7" s="2" t="s">
        <v>63</v>
      </c>
    </row>
    <row r="8" spans="1:1" ht="18" x14ac:dyDescent="0.35">
      <c r="A8" s="2"/>
    </row>
    <row r="9" spans="1:1" ht="21" x14ac:dyDescent="0.3">
      <c r="A9" s="12" t="s">
        <v>24</v>
      </c>
    </row>
    <row r="10" spans="1:1" ht="21" x14ac:dyDescent="0.4">
      <c r="A10" s="3" t="s">
        <v>64</v>
      </c>
    </row>
    <row r="11" spans="1:1" ht="21" x14ac:dyDescent="0.4">
      <c r="A11" s="8"/>
    </row>
    <row r="12" spans="1:1" ht="21" x14ac:dyDescent="0.4">
      <c r="A12" s="3" t="s">
        <v>54</v>
      </c>
    </row>
    <row r="13" spans="1:1" ht="21" x14ac:dyDescent="0.4">
      <c r="A13" s="8" t="s">
        <v>65</v>
      </c>
    </row>
    <row r="14" spans="1:1" ht="21" x14ac:dyDescent="0.4">
      <c r="A14" s="8" t="s">
        <v>67</v>
      </c>
    </row>
    <row r="15" spans="1:1" ht="21" x14ac:dyDescent="0.4">
      <c r="A15" s="8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H19" sqref="H19"/>
    </sheetView>
  </sheetViews>
  <sheetFormatPr defaultRowHeight="14.4" x14ac:dyDescent="0.3"/>
  <sheetData>
    <row r="1" spans="1:7" ht="18" x14ac:dyDescent="0.35">
      <c r="A1" s="2" t="s">
        <v>68</v>
      </c>
    </row>
    <row r="2" spans="1:7" ht="18" x14ac:dyDescent="0.35">
      <c r="A2" s="2" t="s">
        <v>69</v>
      </c>
    </row>
    <row r="3" spans="1:7" ht="18" x14ac:dyDescent="0.35">
      <c r="A3" s="2" t="s">
        <v>70</v>
      </c>
    </row>
    <row r="4" spans="1:7" ht="18" x14ac:dyDescent="0.35">
      <c r="A4" s="2"/>
    </row>
    <row r="5" spans="1:7" ht="15.6" x14ac:dyDescent="0.3">
      <c r="A5" s="1"/>
      <c r="B5" s="1">
        <v>400</v>
      </c>
      <c r="C5" s="1">
        <v>420</v>
      </c>
      <c r="D5" s="1">
        <v>390</v>
      </c>
      <c r="E5" s="1">
        <v>450</v>
      </c>
      <c r="F5" s="1">
        <v>410</v>
      </c>
      <c r="G5" s="1"/>
    </row>
    <row r="6" spans="1:7" ht="15.6" x14ac:dyDescent="0.3">
      <c r="B6" s="1" t="s">
        <v>6</v>
      </c>
      <c r="C6" s="1"/>
      <c r="D6" s="1"/>
      <c r="E6" s="1"/>
      <c r="F6" s="1"/>
      <c r="G6" s="1"/>
    </row>
    <row r="7" spans="1:7" ht="15.6" x14ac:dyDescent="0.3">
      <c r="A7" s="1"/>
      <c r="B7" s="1"/>
      <c r="C7" s="1">
        <f>B5+C5+D5+E5+F5</f>
        <v>2070</v>
      </c>
      <c r="D7" s="1"/>
      <c r="E7" s="1"/>
      <c r="F7" s="1"/>
      <c r="G7" s="1"/>
    </row>
    <row r="8" spans="1:7" ht="15.6" x14ac:dyDescent="0.3">
      <c r="A8" s="1"/>
      <c r="B8" s="1"/>
      <c r="C8" s="1">
        <f>C7/5</f>
        <v>414</v>
      </c>
      <c r="D8" s="1" t="s">
        <v>72</v>
      </c>
      <c r="E8" s="1"/>
      <c r="F8" s="1"/>
      <c r="G8" s="1"/>
    </row>
    <row r="9" spans="1:7" ht="15.6" x14ac:dyDescent="0.3">
      <c r="A9" s="1"/>
      <c r="B9" s="1" t="s">
        <v>71</v>
      </c>
      <c r="C9" s="1">
        <f>_xlfn.STDEV.S(B5:F5)</f>
        <v>23.021728866442675</v>
      </c>
      <c r="D9" s="1" t="s">
        <v>72</v>
      </c>
      <c r="E9" s="1"/>
      <c r="F9" s="1"/>
      <c r="G9" s="1"/>
    </row>
    <row r="10" spans="1:7" ht="15.6" x14ac:dyDescent="0.3">
      <c r="A10" s="23" t="s">
        <v>24</v>
      </c>
      <c r="B10" s="23"/>
      <c r="C10" s="1"/>
      <c r="D10" s="1"/>
      <c r="E10" s="1"/>
      <c r="F10" s="1"/>
      <c r="G10" s="1"/>
    </row>
    <row r="11" spans="1:7" ht="18" x14ac:dyDescent="0.3">
      <c r="A11" s="13" t="s">
        <v>73</v>
      </c>
    </row>
    <row r="12" spans="1:7" ht="18" x14ac:dyDescent="0.3">
      <c r="A12" s="13" t="s">
        <v>74</v>
      </c>
    </row>
    <row r="13" spans="1:7" ht="18" x14ac:dyDescent="0.35">
      <c r="A13" s="2" t="s">
        <v>75</v>
      </c>
    </row>
    <row r="14" spans="1:7" ht="18" x14ac:dyDescent="0.35">
      <c r="A14" s="7" t="s">
        <v>76</v>
      </c>
    </row>
  </sheetData>
  <mergeCells count="1"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tabSelected="1" topLeftCell="A6" workbookViewId="0">
      <selection activeCell="H34" sqref="H34"/>
    </sheetView>
  </sheetViews>
  <sheetFormatPr defaultRowHeight="14.4" x14ac:dyDescent="0.3"/>
  <cols>
    <col min="2" max="2" width="41" bestFit="1" customWidth="1"/>
    <col min="3" max="3" width="11.88671875" bestFit="1" customWidth="1"/>
  </cols>
  <sheetData>
    <row r="1" spans="1:9" ht="18" x14ac:dyDescent="0.35">
      <c r="A1" s="2" t="s">
        <v>77</v>
      </c>
    </row>
    <row r="2" spans="1:9" ht="18" x14ac:dyDescent="0.35">
      <c r="A2" s="2" t="s">
        <v>78</v>
      </c>
    </row>
    <row r="3" spans="1:9" ht="18" x14ac:dyDescent="0.35">
      <c r="A3" s="2" t="s">
        <v>79</v>
      </c>
    </row>
    <row r="5" spans="1:9" x14ac:dyDescent="0.3">
      <c r="B5">
        <v>15</v>
      </c>
      <c r="C5">
        <v>18</v>
      </c>
      <c r="D5">
        <v>20</v>
      </c>
      <c r="E5">
        <v>22</v>
      </c>
      <c r="F5">
        <v>25</v>
      </c>
      <c r="G5">
        <v>17</v>
      </c>
      <c r="H5">
        <v>19</v>
      </c>
      <c r="I5">
        <v>21</v>
      </c>
    </row>
    <row r="6" spans="1:9" ht="18" x14ac:dyDescent="0.35">
      <c r="B6" s="15" t="s">
        <v>0</v>
      </c>
      <c r="C6" s="6">
        <f>AVERAGE(B5:I5)</f>
        <v>19.625</v>
      </c>
    </row>
    <row r="7" spans="1:9" ht="15.6" x14ac:dyDescent="0.3">
      <c r="B7" s="15"/>
    </row>
    <row r="8" spans="1:9" ht="18" x14ac:dyDescent="0.35">
      <c r="B8" s="15" t="s">
        <v>80</v>
      </c>
      <c r="C8" s="6">
        <f>MEDIAN(B5:I5)</f>
        <v>19.5</v>
      </c>
    </row>
    <row r="9" spans="1:9" ht="15.6" x14ac:dyDescent="0.3">
      <c r="B9" s="15"/>
    </row>
    <row r="10" spans="1:9" ht="18" x14ac:dyDescent="0.35">
      <c r="B10" s="15" t="s">
        <v>8</v>
      </c>
      <c r="C10" s="6" t="str">
        <f>IFERROR(_xlfn.MODE.SNGL(B5:I5), "No Mode")</f>
        <v>No Mode</v>
      </c>
    </row>
    <row r="11" spans="1:9" x14ac:dyDescent="0.3">
      <c r="B11" s="16"/>
    </row>
    <row r="12" spans="1:9" ht="18" x14ac:dyDescent="0.35">
      <c r="B12" s="17" t="s">
        <v>38</v>
      </c>
      <c r="C12" s="14">
        <f>MAX(B5:I5)-MIN(B5:I5)</f>
        <v>10</v>
      </c>
    </row>
    <row r="14" spans="1:9" ht="18" x14ac:dyDescent="0.35">
      <c r="A14" s="2" t="s">
        <v>71</v>
      </c>
    </row>
    <row r="15" spans="1:9" ht="15" customHeight="1" x14ac:dyDescent="0.35">
      <c r="A15" s="24" t="s">
        <v>81</v>
      </c>
      <c r="B15" s="24"/>
      <c r="C15" s="7">
        <f>B5+C5+D5+E5+F5+G5+H5+I5</f>
        <v>157</v>
      </c>
    </row>
    <row r="16" spans="1:9" ht="15" customHeight="1" x14ac:dyDescent="0.35">
      <c r="A16" s="24" t="s">
        <v>82</v>
      </c>
      <c r="B16" s="24"/>
      <c r="C16" s="7">
        <f>C15/8</f>
        <v>19.625</v>
      </c>
    </row>
    <row r="17" spans="1:3" ht="15" customHeight="1" x14ac:dyDescent="0.35">
      <c r="A17" s="24" t="s">
        <v>83</v>
      </c>
      <c r="B17" s="24"/>
      <c r="C17" s="7">
        <f>_xlfn.STDEV.S(B5:I5)</f>
        <v>3.1139088893910452</v>
      </c>
    </row>
    <row r="19" spans="1:3" ht="21" x14ac:dyDescent="0.4">
      <c r="A19" s="3" t="s">
        <v>84</v>
      </c>
    </row>
  </sheetData>
  <mergeCells count="3"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Descriptive Statistics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Maskar</cp:lastModifiedBy>
  <dcterms:created xsi:type="dcterms:W3CDTF">2026-01-14T11:15:05Z</dcterms:created>
  <dcterms:modified xsi:type="dcterms:W3CDTF">2026-01-16T17:28:53Z</dcterms:modified>
</cp:coreProperties>
</file>