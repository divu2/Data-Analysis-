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S\Statistics\"/>
    </mc:Choice>
  </mc:AlternateContent>
  <xr:revisionPtr revIDLastSave="0" documentId="8_{12BD5EDC-1037-4FD7-AFF4-949D2E9C90B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Q1" sheetId="1" r:id="rId1"/>
    <sheet name="Q2" sheetId="2" r:id="rId2"/>
    <sheet name="Q3" sheetId="4" r:id="rId3"/>
    <sheet name="Q4" sheetId="5" r:id="rId4"/>
    <sheet name="Q5" sheetId="6" r:id="rId5"/>
    <sheet name="Q6" sheetId="7" r:id="rId6"/>
    <sheet name="Q7" sheetId="8" r:id="rId7"/>
    <sheet name="Q8" sheetId="9" r:id="rId8"/>
  </sheets>
  <definedNames>
    <definedName name="_xlchart.v1.0" hidden="1">'Q8'!$B$18:$B$24</definedName>
    <definedName name="_xlchart.v1.1" hidden="1">'Q8'!$A$18:$A$24</definedName>
    <definedName name="_xlchart.v1.10" hidden="1">'Q8'!$B$18:$B$24</definedName>
    <definedName name="_xlchart.v1.2" hidden="1">'Q8'!$B$18:$B$24</definedName>
    <definedName name="_xlchart.v1.3" hidden="1">'Q8'!$A$18:$A$24</definedName>
    <definedName name="_xlchart.v1.4" hidden="1">'Q8'!$B$18:$B$24</definedName>
    <definedName name="_xlchart.v1.5" hidden="1">'Q8'!$A$18:$A$24</definedName>
    <definedName name="_xlchart.v1.6" hidden="1">'Q8'!$A$18:$A$25</definedName>
    <definedName name="_xlchart.v1.7" hidden="1">'Q8'!$B$18:$B$24</definedName>
    <definedName name="_xlchart.v1.8" hidden="1">'Q8'!$A$18:$A$24</definedName>
    <definedName name="_xlchart.v1.9" hidden="1">'Q8'!$A$18:$A$25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9" l="1"/>
  <c r="B20" i="9"/>
  <c r="B21" i="9"/>
  <c r="B22" i="9"/>
  <c r="B23" i="9"/>
  <c r="B24" i="9"/>
  <c r="B18" i="9"/>
  <c r="B11" i="8"/>
  <c r="D26" i="5" l="1"/>
  <c r="D27" i="5" s="1"/>
  <c r="B15" i="4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" i="2"/>
  <c r="B8" i="1" l="1"/>
</calcChain>
</file>

<file path=xl/sharedStrings.xml><?xml version="1.0" encoding="utf-8"?>
<sst xmlns="http://schemas.openxmlformats.org/spreadsheetml/2006/main" count="134" uniqueCount="116">
  <si>
    <t>Q1.Simulate 30 rolls with =RANDBETWEEN(1,6). What is the probability of rolling a 3 exactly 5 times? (Hint: Use BINOM.DIST)</t>
  </si>
  <si>
    <t xml:space="preserve">Answer :- </t>
  </si>
  <si>
    <t>-</t>
  </si>
  <si>
    <r>
      <t xml:space="preserve">Number of trials </t>
    </r>
    <r>
      <rPr>
        <b/>
        <sz val="11"/>
        <color theme="1"/>
        <rFont val="Arial"/>
        <family val="2"/>
      </rPr>
      <t>n = 30</t>
    </r>
  </si>
  <si>
    <r>
      <t xml:space="preserve">Number of successes </t>
    </r>
    <r>
      <rPr>
        <b/>
        <sz val="11"/>
        <color theme="1"/>
        <rFont val="Arial"/>
        <family val="2"/>
      </rPr>
      <t>x = 5</t>
    </r>
  </si>
  <si>
    <r>
      <t xml:space="preserve">Each roll has probability </t>
    </r>
    <r>
      <rPr>
        <b/>
        <sz val="12"/>
        <color theme="1"/>
        <rFont val="Arial"/>
        <family val="2"/>
      </rPr>
      <t>p = 1/6</t>
    </r>
    <r>
      <rPr>
        <sz val="12"/>
        <color theme="1"/>
        <rFont val="Arial"/>
        <family val="2"/>
      </rPr>
      <t xml:space="preserve"> of getting a 3</t>
    </r>
  </si>
  <si>
    <t>Hence ,</t>
  </si>
  <si>
    <r>
      <t>Final Answer: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0.1921</t>
    </r>
    <r>
      <rPr>
        <sz val="11"/>
        <color theme="1"/>
        <rFont val="Arial"/>
        <family val="2"/>
      </rPr>
      <t xml:space="preserve"> (≈ </t>
    </r>
    <r>
      <rPr>
        <b/>
        <sz val="11"/>
        <color theme="1"/>
        <rFont val="Arial"/>
        <family val="2"/>
      </rPr>
      <t>19.21%</t>
    </r>
    <r>
      <rPr>
        <sz val="11"/>
        <color theme="1"/>
        <rFont val="Arial"/>
        <family val="2"/>
      </rPr>
      <t>)</t>
    </r>
  </si>
  <si>
    <t>Q2.Generate 100 values in Excel using the continuous uniform distribution RAND() and plot a histogram. Describe the shape of the distribution.</t>
  </si>
  <si>
    <t>Answer:</t>
  </si>
  <si>
    <r>
      <t xml:space="preserve">The values are spread </t>
    </r>
    <r>
      <rPr>
        <b/>
        <sz val="11"/>
        <color theme="1"/>
        <rFont val="Arial"/>
        <family val="2"/>
      </rPr>
      <t>uniformly between 0 and 1</t>
    </r>
  </si>
  <si>
    <r>
      <t xml:space="preserve">The histogram appears </t>
    </r>
    <r>
      <rPr>
        <b/>
        <sz val="11"/>
        <color theme="1"/>
        <rFont val="Arial"/>
        <family val="2"/>
      </rPr>
      <t>approximately flat</t>
    </r>
  </si>
  <si>
    <t>No clear peak is observed</t>
  </si>
  <si>
    <r>
      <t xml:space="preserve">When 100 values are generated in Excel using the </t>
    </r>
    <r>
      <rPr>
        <sz val="12"/>
        <color theme="1"/>
        <rFont val="Arial Unicode MS"/>
        <family val="2"/>
      </rPr>
      <t>RAND()</t>
    </r>
    <r>
      <rPr>
        <sz val="12"/>
        <color theme="1"/>
        <rFont val="Arial"/>
        <family val="2"/>
      </rPr>
      <t xml:space="preserve"> function and a histogram is plotted:</t>
    </r>
  </si>
  <si>
    <t xml:space="preserve"> </t>
  </si>
  <si>
    <t>Conclusion:</t>
  </si>
  <si>
    <r>
      <t xml:space="preserve">The shape of the histogram represents a </t>
    </r>
    <r>
      <rPr>
        <b/>
        <sz val="12"/>
        <color theme="1"/>
        <rFont val="Arial"/>
        <family val="2"/>
      </rPr>
      <t>Uniform Distribution</t>
    </r>
    <r>
      <rPr>
        <sz val="12"/>
        <color theme="1"/>
        <rFont val="Arial"/>
        <family val="2"/>
      </rPr>
      <t xml:space="preserve">, where all values within the range are </t>
    </r>
    <r>
      <rPr>
        <b/>
        <sz val="12"/>
        <color theme="1"/>
        <rFont val="Arial"/>
        <family val="2"/>
      </rPr>
      <t>equally likely</t>
    </r>
    <r>
      <rPr>
        <sz val="12"/>
        <color theme="1"/>
        <rFont val="Arial"/>
        <family val="2"/>
      </rPr>
      <t>.</t>
    </r>
  </si>
  <si>
    <r>
      <t xml:space="preserve"> </t>
    </r>
    <r>
      <rPr>
        <b/>
        <sz val="12"/>
        <color theme="1"/>
        <rFont val="Arial"/>
        <family val="2"/>
      </rPr>
      <t>Final Answer:</t>
    </r>
    <r>
      <rPr>
        <sz val="12"/>
        <color theme="1"/>
        <rFont val="Arial"/>
        <family val="2"/>
      </rPr>
      <t xml:space="preserve"> The distribution is </t>
    </r>
    <r>
      <rPr>
        <b/>
        <sz val="12"/>
        <color theme="1"/>
        <rFont val="Arial"/>
        <family val="2"/>
      </rPr>
      <t>uniform (flat/rectangular)</t>
    </r>
    <r>
      <rPr>
        <sz val="12"/>
        <color theme="1"/>
        <rFont val="Arial"/>
        <family val="2"/>
      </rPr>
      <t>.</t>
    </r>
  </si>
  <si>
    <t>Frequency</t>
  </si>
  <si>
    <t xml:space="preserve">Bins </t>
  </si>
  <si>
    <t>Q3.A dataset has a mean of 50 and a standard deviation of 5. What percentage of values lie between 45 and 55 if the data follows a normal distribution?</t>
  </si>
  <si>
    <t>Given:</t>
  </si>
  <si>
    <t>Mean (μ\muμ) = 50</t>
  </si>
  <si>
    <t>Standard deviation (σ\sigmaσ) = 5</t>
  </si>
  <si>
    <t>Interval = 45 to 55</t>
  </si>
  <si>
    <t>Answer</t>
  </si>
  <si>
    <t>NORM.DIST(upper, mean, standard_dev, TRUE) - NORM.DIST(lower, mean, standard_dev, TRUE)</t>
  </si>
  <si>
    <t xml:space="preserve">Formula </t>
  </si>
  <si>
    <t>Upper = 55</t>
  </si>
  <si>
    <t>Lower = 45</t>
  </si>
  <si>
    <t>Mean = 50</t>
  </si>
  <si>
    <t>Standard deviation = 5</t>
  </si>
  <si>
    <t xml:space="preserve">So </t>
  </si>
  <si>
    <t>≈ 68.26%</t>
  </si>
  <si>
    <r>
      <t>Answer: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68%</t>
    </r>
    <r>
      <rPr>
        <sz val="11"/>
        <color theme="1"/>
        <rFont val="Arial"/>
        <family val="2"/>
      </rPr>
      <t xml:space="preserve"> of the values lie between 45 and 55.</t>
    </r>
  </si>
  <si>
    <t>Q4.What is the concept of standardization (z-score), and why is it important in data analysis? Explain the formula and how standardization transforms a dataset.</t>
  </si>
  <si>
    <t>Concept of Standardization (Z-Score)</t>
  </si>
  <si>
    <t>In simple words:</t>
  </si>
  <si>
    <r>
      <t>Standardization</t>
    </r>
    <r>
      <rPr>
        <sz val="12"/>
        <color theme="1"/>
        <rFont val="Arial"/>
        <family val="2"/>
      </rPr>
      <t xml:space="preserve"> is the process of converting data values into </t>
    </r>
    <r>
      <rPr>
        <b/>
        <sz val="12"/>
        <color theme="1"/>
        <rFont val="Arial"/>
        <family val="2"/>
      </rPr>
      <t>z-scores</t>
    </r>
    <r>
      <rPr>
        <sz val="12"/>
        <color theme="1"/>
        <rFont val="Arial"/>
        <family val="2"/>
      </rPr>
      <t xml:space="preserve">, which show how far each value is from the </t>
    </r>
    <r>
      <rPr>
        <b/>
        <sz val="12"/>
        <color theme="1"/>
        <rFont val="Arial"/>
        <family val="2"/>
      </rPr>
      <t>mean</t>
    </r>
    <r>
      <rPr>
        <sz val="12"/>
        <color theme="1"/>
        <rFont val="Arial"/>
        <family val="2"/>
      </rPr>
      <t xml:space="preserve">, measured in </t>
    </r>
    <r>
      <rPr>
        <b/>
        <sz val="12"/>
        <color theme="1"/>
        <rFont val="Arial"/>
        <family val="2"/>
      </rPr>
      <t>standard deviations</t>
    </r>
    <r>
      <rPr>
        <sz val="12"/>
        <color theme="1"/>
        <rFont val="Arial"/>
        <family val="2"/>
      </rPr>
      <t>.</t>
    </r>
  </si>
  <si>
    <r>
      <t xml:space="preserve">A </t>
    </r>
    <r>
      <rPr>
        <b/>
        <sz val="12"/>
        <color theme="1"/>
        <rFont val="Arial"/>
        <family val="2"/>
      </rPr>
      <t>z-score tells us how unusual or typical a data value is</t>
    </r>
    <r>
      <rPr>
        <sz val="12"/>
        <color theme="1"/>
        <rFont val="Arial"/>
        <family val="2"/>
      </rPr>
      <t xml:space="preserve"> compared to the rest of the dataset.</t>
    </r>
  </si>
  <si>
    <t>Z-Score Formula</t>
  </si>
  <si>
    <t>z=X-µ/σ</t>
  </si>
  <si>
    <t>X = individual data value</t>
  </si>
  <si>
    <t>μ = mean of the dataset</t>
  </si>
  <si>
    <t>σ = standard deviation</t>
  </si>
  <si>
    <t>How Standardization Transforms a Dataset</t>
  </si>
  <si>
    <t>After standardization:</t>
  </si>
  <si>
    <r>
      <t xml:space="preserve">The </t>
    </r>
    <r>
      <rPr>
        <b/>
        <sz val="12"/>
        <color theme="1"/>
        <rFont val="Arial"/>
        <family val="2"/>
      </rPr>
      <t>mean becomes 0</t>
    </r>
  </si>
  <si>
    <r>
      <t xml:space="preserve">The </t>
    </r>
    <r>
      <rPr>
        <b/>
        <sz val="12"/>
        <color theme="1"/>
        <rFont val="Arial"/>
        <family val="2"/>
      </rPr>
      <t>standard deviation becomes 1</t>
    </r>
  </si>
  <si>
    <r>
      <t xml:space="preserve">All values are expressed in terms of </t>
    </r>
    <r>
      <rPr>
        <b/>
        <sz val="12"/>
        <color theme="1"/>
        <rFont val="Arial"/>
        <family val="2"/>
      </rPr>
      <t>number of standard deviations from the mean</t>
    </r>
  </si>
  <si>
    <t>Example:</t>
  </si>
  <si>
    <t>If mean = 50, standard deviation = 5, and a value X=55</t>
  </si>
  <si>
    <t>z</t>
  </si>
  <si>
    <r>
      <t xml:space="preserve">This means </t>
    </r>
    <r>
      <rPr>
        <b/>
        <sz val="11"/>
        <color theme="1"/>
        <rFont val="Arial"/>
        <family val="2"/>
      </rPr>
      <t>55 is 1 standard deviation above the mean</t>
    </r>
  </si>
  <si>
    <t>Why Standardization Is Important in Data Analysis</t>
  </si>
  <si>
    <t>1. Comparison across different datasets</t>
  </si>
  <si>
    <t>Helps compare values with different units or scales (e.g., marks vs income).</t>
  </si>
  <si>
    <t>2. Identifying outliers</t>
  </si>
  <si>
    <t>Very high or low z-scores (e.g., ±3) indicate unusual values.</t>
  </si>
  <si>
    <t>3. Normal distribution analysis</t>
  </si>
  <si>
    <t>4. Required for many statistical methods</t>
  </si>
  <si>
    <t>Essential for regression, clustering, PCA, and machine learning models.</t>
  </si>
  <si>
    <t>5. Removes scale bias</t>
  </si>
  <si>
    <t>Prevents variables with larger units from dominating analysis.</t>
  </si>
  <si>
    <t>Makes it easy to use z-tables and probability calculations.</t>
  </si>
  <si>
    <t>Q5.What is Kurtosis and their type?</t>
  </si>
  <si>
    <t>Kurtosis</t>
  </si>
  <si>
    <t>Answer  -</t>
  </si>
  <si>
    <t>Types of Kurtosis</t>
  </si>
  <si>
    <t>1. Mesokurtic</t>
  </si>
  <si>
    <t>Moderate peak and moderate tails</t>
  </si>
  <si>
    <r>
      <t xml:space="preserve">Kurtosis ≈ </t>
    </r>
    <r>
      <rPr>
        <b/>
        <sz val="12"/>
        <color theme="1"/>
        <rFont val="Arial"/>
        <family val="2"/>
      </rPr>
      <t>0</t>
    </r>
    <r>
      <rPr>
        <sz val="12"/>
        <color theme="1"/>
        <rFont val="Arial"/>
        <family val="2"/>
      </rPr>
      <t xml:space="preserve"> (excess kurtosis)</t>
    </r>
  </si>
  <si>
    <r>
      <t xml:space="preserve">Shape similar to a </t>
    </r>
    <r>
      <rPr>
        <b/>
        <sz val="12"/>
        <color theme="1"/>
        <rFont val="Arial"/>
        <family val="2"/>
      </rPr>
      <t>normal distribution</t>
    </r>
  </si>
  <si>
    <r>
      <t xml:space="preserve"> </t>
    </r>
    <r>
      <rPr>
        <i/>
        <sz val="12"/>
        <color theme="1"/>
        <rFont val="Arial"/>
        <family val="2"/>
      </rPr>
      <t>Example:</t>
    </r>
    <r>
      <rPr>
        <sz val="12"/>
        <color theme="1"/>
        <rFont val="Arial"/>
        <family val="2"/>
      </rPr>
      <t xml:space="preserve"> Normal distribution</t>
    </r>
  </si>
  <si>
    <t>2. Leptokurtic</t>
  </si>
  <si>
    <t>High, sharp peak</t>
  </si>
  <si>
    <t>3. Platykurtic</t>
  </si>
  <si>
    <t>Flat peak</t>
  </si>
  <si>
    <r>
      <t xml:space="preserve">Kurtosis </t>
    </r>
    <r>
      <rPr>
        <b/>
        <sz val="12"/>
        <color theme="1"/>
        <rFont val="Arial"/>
        <family val="2"/>
      </rPr>
      <t>&gt; 0</t>
    </r>
  </si>
  <si>
    <r>
      <t>Heavy tails</t>
    </r>
    <r>
      <rPr>
        <sz val="12"/>
        <color theme="1"/>
        <rFont val="Arial"/>
        <family val="2"/>
      </rPr>
      <t xml:space="preserve"> (more extreme values / outliers)</t>
    </r>
  </si>
  <si>
    <r>
      <t xml:space="preserve"> </t>
    </r>
    <r>
      <rPr>
        <i/>
        <sz val="12"/>
        <color theme="1"/>
        <rFont val="Arial"/>
        <family val="2"/>
      </rPr>
      <t>Example:</t>
    </r>
    <r>
      <rPr>
        <sz val="12"/>
        <color theme="1"/>
        <rFont val="Arial"/>
        <family val="2"/>
      </rPr>
      <t xml:space="preserve"> Financial return data</t>
    </r>
  </si>
  <si>
    <r>
      <t xml:space="preserve">Kurtosis </t>
    </r>
    <r>
      <rPr>
        <b/>
        <sz val="12"/>
        <color theme="1"/>
        <rFont val="Arial"/>
        <family val="2"/>
      </rPr>
      <t>&lt; 0</t>
    </r>
  </si>
  <si>
    <r>
      <t>Light tails</t>
    </r>
    <r>
      <rPr>
        <sz val="12"/>
        <color theme="1"/>
        <rFont val="Arial"/>
        <family val="2"/>
      </rPr>
      <t xml:space="preserve"> (fewer outliers)</t>
    </r>
  </si>
  <si>
    <r>
      <t xml:space="preserve"> </t>
    </r>
    <r>
      <rPr>
        <i/>
        <sz val="12"/>
        <color theme="1"/>
        <rFont val="Arial"/>
        <family val="2"/>
      </rPr>
      <t>Example:</t>
    </r>
    <r>
      <rPr>
        <sz val="12"/>
        <color theme="1"/>
        <rFont val="Arial"/>
        <family val="2"/>
      </rPr>
      <t xml:space="preserve"> Uniform distribution</t>
    </r>
  </si>
  <si>
    <t>Q6.Explain why the uniform distribution is a good model for the outcome of rolling a fair die.</t>
  </si>
  <si>
    <r>
      <t xml:space="preserve">A </t>
    </r>
    <r>
      <rPr>
        <b/>
        <sz val="11"/>
        <color theme="1"/>
        <rFont val="Arial"/>
        <family val="2"/>
      </rPr>
      <t>uniform distribution</t>
    </r>
    <r>
      <rPr>
        <sz val="11"/>
        <color theme="1"/>
        <rFont val="Arial"/>
        <family val="2"/>
      </rPr>
      <t xml:space="preserve"> is a good model for the outcome of rolling a </t>
    </r>
    <r>
      <rPr>
        <b/>
        <sz val="11"/>
        <color theme="1"/>
        <rFont val="Arial"/>
        <family val="2"/>
      </rPr>
      <t>fair die</t>
    </r>
    <r>
      <rPr>
        <sz val="11"/>
        <color theme="1"/>
        <rFont val="Arial"/>
        <family val="2"/>
      </rPr>
      <t xml:space="preserve"> because </t>
    </r>
    <r>
      <rPr>
        <b/>
        <sz val="11"/>
        <color theme="1"/>
        <rFont val="Arial"/>
        <family val="2"/>
      </rPr>
      <t>each possible outcome has the same probability of occurring</t>
    </r>
    <r>
      <rPr>
        <sz val="11"/>
        <color theme="1"/>
        <rFont val="Arial"/>
        <family val="2"/>
      </rPr>
      <t>.</t>
    </r>
  </si>
  <si>
    <t>Explanation:</t>
  </si>
  <si>
    <t>Therefore, each outcome has an equal probability:</t>
  </si>
  <si>
    <t>P(1)=P(2)=P(3)=P(4)=P(5)=P(6)=1/6</t>
  </si>
  <si>
    <r>
      <t xml:space="preserve">A fair die has </t>
    </r>
    <r>
      <rPr>
        <b/>
        <sz val="12"/>
        <color theme="1"/>
        <rFont val="Arial"/>
        <family val="2"/>
      </rPr>
      <t>six possible outcomes</t>
    </r>
    <r>
      <rPr>
        <sz val="12"/>
        <color theme="1"/>
        <rFont val="Arial"/>
        <family val="2"/>
      </rPr>
      <t>: 1, 2, 3, 4, 5, and 6.</t>
    </r>
  </si>
  <si>
    <r>
      <t xml:space="preserve">Since the die is fair, </t>
    </r>
    <r>
      <rPr>
        <b/>
        <sz val="12"/>
        <color theme="1"/>
        <rFont val="Arial"/>
        <family val="2"/>
      </rPr>
      <t>no number is favored</t>
    </r>
    <r>
      <rPr>
        <sz val="12"/>
        <color theme="1"/>
        <rFont val="Arial"/>
        <family val="2"/>
      </rPr>
      <t xml:space="preserve"> over another.</t>
    </r>
  </si>
  <si>
    <t>Because every face of a fair die has the same chance of occurring, the uniform distribution accurately represents the probability of its outcomes.</t>
  </si>
  <si>
    <r>
      <t xml:space="preserve">A uniform distribution is defined as a distribution in which </t>
    </r>
    <r>
      <rPr>
        <b/>
        <sz val="12"/>
        <color theme="1"/>
        <rFont val="Arial"/>
        <family val="2"/>
      </rPr>
      <t>all outcomes are equally likely</t>
    </r>
    <r>
      <rPr>
        <sz val="12"/>
        <color theme="1"/>
        <rFont val="Arial"/>
        <family val="2"/>
      </rPr>
      <t>, which exactly matches the behavior of a fair die.</t>
    </r>
  </si>
  <si>
    <t>Q7.Use Excel to compute the probability of getting at least 8 successes in 15 trials with success probability 0.5</t>
  </si>
  <si>
    <t>Given</t>
  </si>
  <si>
    <t>Number of trials n=15n = 15n=15</t>
  </si>
  <si>
    <t>Success probability p=0.5p = 0.5p=0.5</t>
  </si>
  <si>
    <r>
      <t xml:space="preserve">We want: </t>
    </r>
    <r>
      <rPr>
        <b/>
        <sz val="12"/>
        <color theme="1"/>
        <rFont val="Arial"/>
        <family val="2"/>
      </rPr>
      <t>P(X ≥ 8)</t>
    </r>
  </si>
  <si>
    <t>So,</t>
  </si>
  <si>
    <t>P(X≥8)=1−P(X≤7)P(X \ge 8) = 1 - P(X \le 7)P(X≥8)=1−P(X≤7)</t>
  </si>
  <si>
    <r>
      <t xml:space="preserve"> </t>
    </r>
    <r>
      <rPr>
        <b/>
        <sz val="12"/>
        <color theme="1"/>
        <rFont val="Arial"/>
        <family val="2"/>
      </rPr>
      <t>Probability of getting at least 8 successes = 0.50 (50%)</t>
    </r>
  </si>
  <si>
    <t>Q8.How does log transformation help in stabilizing variance and making data more normally distributed?</t>
  </si>
  <si>
    <t>Stabilizing Variance (Reducing Heteroscedasticity)</t>
  </si>
  <si>
    <t>In many datasets, variance increases with the magnitude of the values (e.g., income, sales, population).</t>
  </si>
  <si>
    <t>Log transformation compresses large values more than small ones.</t>
  </si>
  <si>
    <t>This reduces the spread of high values, making variance more uniform across the dataset.</t>
  </si>
  <si>
    <t>Raw data: [10, 100, 1000] → variance is huge.</t>
  </si>
  <si>
    <t>Log-transformed: [log(10), log(100), log(1000)] = [2.3, 4.6, 6.9] → spread is much smaller.</t>
  </si>
  <si>
    <t>Making Data More Normally Distributed</t>
  </si>
  <si>
    <t>Many real-world variables are right-skewed (long tail of large values).</t>
  </si>
  <si>
    <t>Log transformation pulls in the long tail, reducing skewness.</t>
  </si>
  <si>
    <t>This makes the distribution closer to symmetric (bell-shaped), which is important for statistical tests that assume normality.</t>
  </si>
  <si>
    <t>Using a Formula</t>
  </si>
  <si>
    <r>
      <t>Kurtosis</t>
    </r>
    <r>
      <rPr>
        <sz val="12"/>
        <color theme="1"/>
        <rFont val="Arial"/>
        <family val="2"/>
      </rPr>
      <t xml:space="preserve"> is a statistical measure that describes the </t>
    </r>
    <r>
      <rPr>
        <b/>
        <sz val="12"/>
        <color theme="1"/>
        <rFont val="Arial"/>
        <family val="2"/>
      </rPr>
      <t>shape of a data distribution</t>
    </r>
    <r>
      <rPr>
        <sz val="12"/>
        <color theme="1"/>
        <rFont val="Arial"/>
        <family val="2"/>
      </rPr>
      <t xml:space="preserve">, specifically the </t>
    </r>
    <r>
      <rPr>
        <b/>
        <sz val="12"/>
        <color theme="1"/>
        <rFont val="Arial"/>
        <family val="2"/>
      </rPr>
      <t>peakedness and heaviness of the tails</t>
    </r>
    <r>
      <rPr>
        <sz val="12"/>
        <color theme="1"/>
        <rFont val="Arial"/>
        <family val="2"/>
      </rPr>
      <t xml:space="preserve"> compared to a normal distribution.</t>
    </r>
  </si>
  <si>
    <r>
      <t xml:space="preserve">Kurtosis tells us </t>
    </r>
    <r>
      <rPr>
        <b/>
        <sz val="12"/>
        <color theme="1"/>
        <rFont val="Arial"/>
        <family val="2"/>
      </rPr>
      <t>how extreme the values (outliers) are</t>
    </r>
    <r>
      <rPr>
        <sz val="12"/>
        <color theme="1"/>
        <rFont val="Arial"/>
        <family val="2"/>
      </rPr>
      <t xml:space="preserve"> in a dataset.</t>
    </r>
  </si>
  <si>
    <r>
      <t xml:space="preserve">There are </t>
    </r>
    <r>
      <rPr>
        <b/>
        <sz val="12"/>
        <color theme="1"/>
        <rFont val="Arial"/>
        <family val="2"/>
      </rPr>
      <t>three main types of kurtosis</t>
    </r>
    <r>
      <rPr>
        <sz val="12"/>
        <color theme="1"/>
        <rFont val="Arial"/>
        <family val="2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</si>
</sst>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14"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3.5"/>
      <color theme="1"/>
      <name val="Arial"/>
      <family val="2"/>
    </font>
    <font>
      <sz val="12"/>
      <color theme="1"/>
      <name val="Arial Unicode MS"/>
      <family val="2"/>
    </font>
    <font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sz val="14"/>
      <color theme="1"/>
      <name val="Arial"/>
      <family val="2"/>
    </font>
    <font>
      <i/>
      <sz val="12"/>
      <color theme="1"/>
      <name val="Arial"/>
      <family val="2"/>
    </font>
    <font>
      <sz val="14"/>
      <color theme="1"/>
      <name val="Calibri"/>
      <family val="2"/>
      <scheme val="minor"/>
    </font>
    <font>
      <b/>
      <sz val="2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0" fontId="1" fillId="0" borderId="0" xfId="0" applyFont="1"/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right"/>
    </xf>
    <xf numFmtId="0" fontId="0" fillId="0" borderId="1" xfId="0" applyBorder="1"/>
    <xf numFmtId="0" fontId="7" fillId="0" borderId="2" xfId="0" applyFont="1" applyBorder="1" applyAlignment="1">
      <alignment horizontal="center"/>
    </xf>
    <xf numFmtId="165" fontId="0" fillId="0" borderId="0" xfId="0" applyNumberFormat="1"/>
    <xf numFmtId="0" fontId="4" fillId="0" borderId="0" xfId="0" applyFont="1"/>
    <xf numFmtId="0" fontId="2" fillId="0" borderId="9" xfId="0" applyFont="1" applyBorder="1"/>
    <xf numFmtId="0" fontId="2" fillId="0" borderId="10" xfId="0" applyFont="1" applyBorder="1"/>
    <xf numFmtId="0" fontId="3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10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Alignment="1">
      <alignment horizontal="right"/>
    </xf>
    <xf numFmtId="0" fontId="4" fillId="0" borderId="3" xfId="0" applyFont="1" applyBorder="1"/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0" xfId="0" applyFont="1"/>
    <xf numFmtId="0" fontId="12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'Q2'!$C$17</c:f>
              <c:strCache>
                <c:ptCount val="1"/>
                <c:pt idx="0">
                  <c:v>Frequency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'Q2'!$C$18:$C$28</c:f>
              <c:numCache>
                <c:formatCode>General</c:formatCode>
                <c:ptCount val="11"/>
                <c:pt idx="0">
                  <c:v>7</c:v>
                </c:pt>
                <c:pt idx="1">
                  <c:v>8</c:v>
                </c:pt>
                <c:pt idx="2">
                  <c:v>7</c:v>
                </c:pt>
                <c:pt idx="3">
                  <c:v>12</c:v>
                </c:pt>
                <c:pt idx="4">
                  <c:v>7</c:v>
                </c:pt>
                <c:pt idx="5">
                  <c:v>13</c:v>
                </c:pt>
                <c:pt idx="6">
                  <c:v>10</c:v>
                </c:pt>
                <c:pt idx="7">
                  <c:v>12</c:v>
                </c:pt>
                <c:pt idx="8">
                  <c:v>14</c:v>
                </c:pt>
                <c:pt idx="9">
                  <c:v>9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04-4E7F-803E-85A66403A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13526080"/>
        <c:axId val="313527256"/>
      </c:barChart>
      <c:catAx>
        <c:axId val="313526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527256"/>
        <c:crosses val="autoZero"/>
        <c:auto val="1"/>
        <c:lblAlgn val="ctr"/>
        <c:lblOffset val="100"/>
        <c:noMultiLvlLbl val="0"/>
      </c:catAx>
      <c:valAx>
        <c:axId val="31352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52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  <cx:data id="1">
      <cx:numDim type="val">
        <cx:f>_xlchart.v1.10</cx:f>
      </cx:numDim>
    </cx:data>
  </cx:chartData>
  <cx:chart>
    <cx:title pos="t" align="ctr" overlay="0">
      <cx:tx>
        <cx:txData>
          <cx:v>Histogram Of Long Transformed Data </cx:v>
        </cx:txData>
      </cx:tx>
      <cx:spPr>
        <a:solidFill>
          <a:schemeClr val="accent1"/>
        </a:solidFill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Histogram Of Long Transformed Data </a:t>
          </a:r>
        </a:p>
      </cx:txPr>
    </cx:title>
    <cx:plotArea>
      <cx:plotAreaRegion>
        <cx:series layoutId="clusteredColumn" uniqueId="{1E630DF4-238C-491D-A387-0086DDFB8AA5}" formatIdx="0">
          <cx:dataId val="0"/>
          <cx:layoutPr>
            <cx:binning intervalClosed="r"/>
          </cx:layoutPr>
        </cx:series>
        <cx:series layoutId="clusteredColumn" hidden="1" uniqueId="{E4F00CEB-01BD-4CA1-9A0E-75880ADA4989}" formatIdx="1"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604837</xdr:colOff>
      <xdr:row>14</xdr:row>
      <xdr:rowOff>114300</xdr:rowOff>
    </xdr:from>
    <xdr:to>
      <xdr:col>10</xdr:col>
      <xdr:colOff>376237</xdr:colOff>
      <xdr:row>29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636270</xdr:colOff>
      <xdr:row>16</xdr:row>
      <xdr:rowOff>213360</xdr:rowOff>
    </xdr:from>
    <xdr:to>
      <xdr:col>10</xdr:col>
      <xdr:colOff>480060</xdr:colOff>
      <xdr:row>30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11308DB-D1B9-37AC-B496-CD749CD1BA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45970" y="3810000"/>
              <a:ext cx="5208270" cy="31851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workbookViewId="0">
      <selection activeCell="F15" sqref="F15"/>
    </sheetView>
  </sheetViews>
  <sheetFormatPr defaultRowHeight="13.8"/>
  <sheetData>
    <row r="1" spans="1:15" ht="38.2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>
      <c r="A2" t="s">
        <v>1</v>
      </c>
    </row>
    <row r="4" spans="1:15" ht="15.6">
      <c r="A4" s="2" t="s">
        <v>2</v>
      </c>
      <c r="B4" s="23" t="s">
        <v>5</v>
      </c>
      <c r="C4" s="23"/>
      <c r="D4" s="23"/>
      <c r="E4" s="23"/>
      <c r="F4" s="23"/>
    </row>
    <row r="5" spans="1:15" ht="15">
      <c r="A5" s="2" t="s">
        <v>2</v>
      </c>
      <c r="B5" s="23" t="s">
        <v>3</v>
      </c>
      <c r="C5" s="23"/>
      <c r="D5" s="23"/>
      <c r="E5" s="23"/>
      <c r="F5" s="23"/>
    </row>
    <row r="6" spans="1:15" ht="15">
      <c r="A6" s="2" t="s">
        <v>2</v>
      </c>
      <c r="B6" s="23" t="s">
        <v>4</v>
      </c>
      <c r="C6" s="23"/>
      <c r="D6" s="23"/>
      <c r="E6" s="23"/>
      <c r="F6" s="23"/>
    </row>
    <row r="7" spans="1:15">
      <c r="A7" s="2" t="s">
        <v>6</v>
      </c>
    </row>
    <row r="8" spans="1:15">
      <c r="B8" s="3">
        <f>_xlfn.BINOM.DIST(5,30,1/6,FALSE)</f>
        <v>0.19210813105163416</v>
      </c>
    </row>
    <row r="10" spans="1:15">
      <c r="B10" s="4" t="s">
        <v>7</v>
      </c>
    </row>
  </sheetData>
  <mergeCells count="4">
    <mergeCell ref="A1:O1"/>
    <mergeCell ref="B4:F4"/>
    <mergeCell ref="B5:F5"/>
    <mergeCell ref="B6:F6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0"/>
  <sheetViews>
    <sheetView topLeftCell="A10" workbookViewId="0">
      <selection activeCell="N19" sqref="N19"/>
    </sheetView>
  </sheetViews>
  <sheetFormatPr defaultRowHeight="13.8"/>
  <sheetData>
    <row r="1" spans="1:19" ht="42" customHeight="1">
      <c r="A1" s="3">
        <f ca="1">RAND()</f>
        <v>0.72959324692480665</v>
      </c>
      <c r="C1" s="22" t="s">
        <v>8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</row>
    <row r="2" spans="1:19" ht="17.399999999999999">
      <c r="A2" s="3">
        <f t="shared" ref="A2:A65" ca="1" si="0">RAND()</f>
        <v>0.87203636738831669</v>
      </c>
      <c r="B2">
        <v>0</v>
      </c>
      <c r="C2" s="5" t="s">
        <v>9</v>
      </c>
    </row>
    <row r="3" spans="1:19" ht="15">
      <c r="A3" s="3">
        <f t="shared" ca="1" si="0"/>
        <v>0.52291041263612825</v>
      </c>
      <c r="B3">
        <v>0.1</v>
      </c>
      <c r="C3" s="7" t="s">
        <v>2</v>
      </c>
      <c r="D3" s="23" t="s">
        <v>13</v>
      </c>
      <c r="E3" s="23"/>
      <c r="F3" s="23"/>
      <c r="G3" s="23"/>
      <c r="H3" s="23"/>
      <c r="I3" s="23"/>
      <c r="J3" s="23"/>
      <c r="K3" s="23"/>
      <c r="L3" s="23"/>
      <c r="M3" s="23"/>
    </row>
    <row r="4" spans="1:19" ht="15">
      <c r="A4" s="3">
        <f t="shared" ca="1" si="0"/>
        <v>0.75058816572970199</v>
      </c>
      <c r="B4">
        <v>0.2</v>
      </c>
      <c r="C4" s="7" t="s">
        <v>2</v>
      </c>
      <c r="D4" s="23" t="s">
        <v>10</v>
      </c>
      <c r="E4" s="23"/>
      <c r="F4" s="23"/>
      <c r="G4" s="23"/>
      <c r="H4" s="23"/>
      <c r="I4" s="23"/>
      <c r="J4" s="23"/>
      <c r="K4" s="23"/>
      <c r="L4" s="23"/>
      <c r="M4" s="23"/>
    </row>
    <row r="5" spans="1:19" ht="15">
      <c r="A5" s="3">
        <f t="shared" ca="1" si="0"/>
        <v>0.66794247925925487</v>
      </c>
      <c r="B5">
        <v>0.3</v>
      </c>
      <c r="C5" s="7" t="s">
        <v>2</v>
      </c>
      <c r="D5" s="23" t="s">
        <v>11</v>
      </c>
      <c r="E5" s="23"/>
      <c r="F5" s="23"/>
      <c r="G5" s="23"/>
      <c r="H5" s="23"/>
      <c r="I5" s="23"/>
      <c r="J5" s="23"/>
      <c r="K5" s="23"/>
      <c r="L5" s="23"/>
      <c r="M5" s="23"/>
    </row>
    <row r="6" spans="1:19" ht="15">
      <c r="A6" s="3">
        <f t="shared" ca="1" si="0"/>
        <v>0.26605776455564634</v>
      </c>
      <c r="B6">
        <v>0.4</v>
      </c>
      <c r="C6" s="7" t="s">
        <v>2</v>
      </c>
      <c r="D6" s="23" t="s">
        <v>12</v>
      </c>
      <c r="E6" s="23"/>
      <c r="F6" s="23"/>
      <c r="G6" s="23"/>
      <c r="H6" s="23"/>
      <c r="I6" s="23"/>
      <c r="J6" s="23"/>
      <c r="K6" s="23"/>
      <c r="L6" s="23"/>
      <c r="M6" s="23"/>
    </row>
    <row r="7" spans="1:19">
      <c r="A7" s="3">
        <f t="shared" ca="1" si="0"/>
        <v>0.19378122112782925</v>
      </c>
      <c r="B7">
        <v>0.5</v>
      </c>
      <c r="C7" s="7"/>
    </row>
    <row r="8" spans="1:19">
      <c r="A8" s="3">
        <f t="shared" ca="1" si="0"/>
        <v>0.4568710692435759</v>
      </c>
      <c r="B8">
        <v>0.6</v>
      </c>
      <c r="C8" s="7"/>
    </row>
    <row r="9" spans="1:19">
      <c r="A9" s="3">
        <f t="shared" ca="1" si="0"/>
        <v>0.12141633315330735</v>
      </c>
      <c r="B9">
        <v>0.7</v>
      </c>
    </row>
    <row r="10" spans="1:19" ht="17.399999999999999">
      <c r="A10" s="3">
        <f t="shared" ca="1" si="0"/>
        <v>0.70695032279965109</v>
      </c>
      <c r="B10">
        <v>0.8</v>
      </c>
      <c r="C10" s="5" t="s">
        <v>15</v>
      </c>
    </row>
    <row r="11" spans="1:19">
      <c r="A11" s="3">
        <f t="shared" ca="1" si="0"/>
        <v>0.9588773312445884</v>
      </c>
      <c r="B11">
        <v>0.9</v>
      </c>
    </row>
    <row r="12" spans="1:19" ht="15.6">
      <c r="A12" s="3">
        <f t="shared" ca="1" si="0"/>
        <v>0.63318258843988173</v>
      </c>
      <c r="B12" s="10">
        <v>1</v>
      </c>
      <c r="D12" s="23" t="s">
        <v>16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</row>
    <row r="13" spans="1:19" ht="15">
      <c r="A13" s="3">
        <f t="shared" ca="1" si="0"/>
        <v>0.48840721147945854</v>
      </c>
      <c r="D13" s="1"/>
      <c r="L13" t="s">
        <v>14</v>
      </c>
    </row>
    <row r="14" spans="1:19" ht="15.6">
      <c r="A14" s="3">
        <f t="shared" ca="1" si="0"/>
        <v>0.6835801517788237</v>
      </c>
      <c r="D14" s="1" t="s">
        <v>17</v>
      </c>
    </row>
    <row r="15" spans="1:19">
      <c r="A15" s="3">
        <f t="shared" ca="1" si="0"/>
        <v>0.33369297401642095</v>
      </c>
    </row>
    <row r="16" spans="1:19" ht="14.4" thickBot="1">
      <c r="A16" s="3">
        <f t="shared" ca="1" si="0"/>
        <v>0.91994296931633479</v>
      </c>
    </row>
    <row r="17" spans="1:3" ht="14.4">
      <c r="A17" s="3">
        <f t="shared" ca="1" si="0"/>
        <v>0.98734106906672636</v>
      </c>
      <c r="B17" s="9" t="s">
        <v>19</v>
      </c>
      <c r="C17" s="9" t="s">
        <v>18</v>
      </c>
    </row>
    <row r="18" spans="1:3">
      <c r="A18" s="3">
        <f t="shared" ca="1" si="0"/>
        <v>0.55773416157861455</v>
      </c>
      <c r="B18">
        <v>0.1</v>
      </c>
      <c r="C18">
        <v>7</v>
      </c>
    </row>
    <row r="19" spans="1:3">
      <c r="A19" s="3">
        <f t="shared" ca="1" si="0"/>
        <v>0.88083488812841926</v>
      </c>
      <c r="B19">
        <v>0.2</v>
      </c>
      <c r="C19">
        <v>8</v>
      </c>
    </row>
    <row r="20" spans="1:3">
      <c r="A20" s="3">
        <f t="shared" ca="1" si="0"/>
        <v>0.87505979693142932</v>
      </c>
      <c r="B20">
        <v>0.3</v>
      </c>
      <c r="C20">
        <v>7</v>
      </c>
    </row>
    <row r="21" spans="1:3">
      <c r="A21" s="3">
        <f t="shared" ca="1" si="0"/>
        <v>0.82240713698695067</v>
      </c>
      <c r="B21">
        <v>0.4</v>
      </c>
      <c r="C21">
        <v>12</v>
      </c>
    </row>
    <row r="22" spans="1:3">
      <c r="A22" s="3">
        <f t="shared" ca="1" si="0"/>
        <v>0.44581945435277071</v>
      </c>
      <c r="B22">
        <v>0.5</v>
      </c>
      <c r="C22">
        <v>7</v>
      </c>
    </row>
    <row r="23" spans="1:3">
      <c r="A23" s="3">
        <f t="shared" ca="1" si="0"/>
        <v>0.90359752380242397</v>
      </c>
      <c r="B23">
        <v>0.6</v>
      </c>
      <c r="C23">
        <v>13</v>
      </c>
    </row>
    <row r="24" spans="1:3">
      <c r="A24" s="3">
        <f t="shared" ca="1" si="0"/>
        <v>0.64527052959209774</v>
      </c>
      <c r="B24">
        <v>0.7</v>
      </c>
      <c r="C24">
        <v>10</v>
      </c>
    </row>
    <row r="25" spans="1:3">
      <c r="A25" s="3">
        <f t="shared" ca="1" si="0"/>
        <v>0.66812361227427053</v>
      </c>
      <c r="B25">
        <v>0.8</v>
      </c>
      <c r="C25">
        <v>12</v>
      </c>
    </row>
    <row r="26" spans="1:3">
      <c r="A26" s="3">
        <f t="shared" ca="1" si="0"/>
        <v>0.14878128974090077</v>
      </c>
      <c r="B26">
        <v>0.9</v>
      </c>
      <c r="C26">
        <v>14</v>
      </c>
    </row>
    <row r="27" spans="1:3">
      <c r="A27" s="3">
        <f t="shared" ca="1" si="0"/>
        <v>0.6650089032172718</v>
      </c>
      <c r="B27">
        <v>1</v>
      </c>
      <c r="C27">
        <v>9</v>
      </c>
    </row>
    <row r="28" spans="1:3" ht="14.4" thickBot="1">
      <c r="A28" s="3">
        <f t="shared" ca="1" si="0"/>
        <v>0.4652333532234042</v>
      </c>
      <c r="B28" s="8"/>
      <c r="C28" s="8">
        <v>0</v>
      </c>
    </row>
    <row r="29" spans="1:3">
      <c r="A29" s="3">
        <f t="shared" ca="1" si="0"/>
        <v>0.46921928737217677</v>
      </c>
    </row>
    <row r="30" spans="1:3">
      <c r="A30" s="3">
        <f t="shared" ca="1" si="0"/>
        <v>0.41714820459962643</v>
      </c>
    </row>
    <row r="31" spans="1:3">
      <c r="A31" s="3">
        <f t="shared" ca="1" si="0"/>
        <v>0.41143038958383116</v>
      </c>
    </row>
    <row r="32" spans="1:3">
      <c r="A32" s="3">
        <f t="shared" ca="1" si="0"/>
        <v>0.90813458984756634</v>
      </c>
    </row>
    <row r="33" spans="1:1">
      <c r="A33" s="3">
        <f t="shared" ca="1" si="0"/>
        <v>0.43858265613237291</v>
      </c>
    </row>
    <row r="34" spans="1:1">
      <c r="A34" s="3">
        <f t="shared" ca="1" si="0"/>
        <v>0.56438702214444614</v>
      </c>
    </row>
    <row r="35" spans="1:1">
      <c r="A35" s="3">
        <f t="shared" ca="1" si="0"/>
        <v>0.42380132385236158</v>
      </c>
    </row>
    <row r="36" spans="1:1">
      <c r="A36" s="3">
        <f t="shared" ca="1" si="0"/>
        <v>0.57031669122422834</v>
      </c>
    </row>
    <row r="37" spans="1:1">
      <c r="A37" s="3">
        <f t="shared" ca="1" si="0"/>
        <v>0.52135369170047741</v>
      </c>
    </row>
    <row r="38" spans="1:1">
      <c r="A38" s="3">
        <f t="shared" ca="1" si="0"/>
        <v>0.48024294690515401</v>
      </c>
    </row>
    <row r="39" spans="1:1">
      <c r="A39" s="3">
        <f t="shared" ca="1" si="0"/>
        <v>0.56285528373196403</v>
      </c>
    </row>
    <row r="40" spans="1:1">
      <c r="A40" s="3">
        <f t="shared" ca="1" si="0"/>
        <v>0.14480866494245315</v>
      </c>
    </row>
    <row r="41" spans="1:1">
      <c r="A41" s="3">
        <f t="shared" ca="1" si="0"/>
        <v>0.94201744990038649</v>
      </c>
    </row>
    <row r="42" spans="1:1">
      <c r="A42" s="3">
        <f t="shared" ca="1" si="0"/>
        <v>0.1982601196869751</v>
      </c>
    </row>
    <row r="43" spans="1:1">
      <c r="A43" s="3">
        <f t="shared" ca="1" si="0"/>
        <v>0.22592912737434323</v>
      </c>
    </row>
    <row r="44" spans="1:1">
      <c r="A44" s="3">
        <f t="shared" ca="1" si="0"/>
        <v>0.91686161779572306</v>
      </c>
    </row>
    <row r="45" spans="1:1">
      <c r="A45" s="3">
        <f t="shared" ca="1" si="0"/>
        <v>7.4957858533030941E-2</v>
      </c>
    </row>
    <row r="46" spans="1:1">
      <c r="A46" s="3">
        <f t="shared" ca="1" si="0"/>
        <v>7.7542793485378514E-2</v>
      </c>
    </row>
    <row r="47" spans="1:1">
      <c r="A47" s="3">
        <f t="shared" ca="1" si="0"/>
        <v>0.46411803371082605</v>
      </c>
    </row>
    <row r="48" spans="1:1">
      <c r="A48" s="3">
        <f t="shared" ca="1" si="0"/>
        <v>0.74802146372604328</v>
      </c>
    </row>
    <row r="49" spans="1:1">
      <c r="A49" s="3">
        <f t="shared" ca="1" si="0"/>
        <v>0.55603405825343533</v>
      </c>
    </row>
    <row r="50" spans="1:1">
      <c r="A50" s="3">
        <f t="shared" ca="1" si="0"/>
        <v>1.2921714845376409E-2</v>
      </c>
    </row>
    <row r="51" spans="1:1">
      <c r="A51" s="3">
        <f t="shared" ca="1" si="0"/>
        <v>0.1092356662036067</v>
      </c>
    </row>
    <row r="52" spans="1:1">
      <c r="A52" s="3">
        <f t="shared" ca="1" si="0"/>
        <v>0.73925445355636987</v>
      </c>
    </row>
    <row r="53" spans="1:1">
      <c r="A53" s="3">
        <f t="shared" ca="1" si="0"/>
        <v>0.28259043687715013</v>
      </c>
    </row>
    <row r="54" spans="1:1">
      <c r="A54" s="3">
        <f t="shared" ca="1" si="0"/>
        <v>0.28513295037436337</v>
      </c>
    </row>
    <row r="55" spans="1:1">
      <c r="A55" s="3">
        <f t="shared" ca="1" si="0"/>
        <v>0.72176754881714178</v>
      </c>
    </row>
    <row r="56" spans="1:1">
      <c r="A56" s="3">
        <f t="shared" ca="1" si="0"/>
        <v>0.54669136370605109</v>
      </c>
    </row>
    <row r="57" spans="1:1">
      <c r="A57" s="3">
        <f t="shared" ca="1" si="0"/>
        <v>0.60869084726733336</v>
      </c>
    </row>
    <row r="58" spans="1:1">
      <c r="A58" s="3">
        <f t="shared" ca="1" si="0"/>
        <v>0.36109885320812618</v>
      </c>
    </row>
    <row r="59" spans="1:1">
      <c r="A59" s="3">
        <f t="shared" ca="1" si="0"/>
        <v>0.66839108737845288</v>
      </c>
    </row>
    <row r="60" spans="1:1">
      <c r="A60" s="3">
        <f t="shared" ca="1" si="0"/>
        <v>0.52026628547624731</v>
      </c>
    </row>
    <row r="61" spans="1:1">
      <c r="A61" s="3">
        <f t="shared" ca="1" si="0"/>
        <v>0.69852823572081379</v>
      </c>
    </row>
    <row r="62" spans="1:1">
      <c r="A62" s="3">
        <f t="shared" ca="1" si="0"/>
        <v>0.39651400943975501</v>
      </c>
    </row>
    <row r="63" spans="1:1">
      <c r="A63" s="3">
        <f t="shared" ca="1" si="0"/>
        <v>0.86780527177761535</v>
      </c>
    </row>
    <row r="64" spans="1:1">
      <c r="A64" s="3">
        <f t="shared" ca="1" si="0"/>
        <v>0.32138491612686904</v>
      </c>
    </row>
    <row r="65" spans="1:1">
      <c r="A65" s="3">
        <f t="shared" ca="1" si="0"/>
        <v>0.37148951607282554</v>
      </c>
    </row>
    <row r="66" spans="1:1">
      <c r="A66" s="3">
        <f t="shared" ref="A66:A100" ca="1" si="1">RAND()</f>
        <v>0.20904132312723811</v>
      </c>
    </row>
    <row r="67" spans="1:1">
      <c r="A67" s="3">
        <f t="shared" ca="1" si="1"/>
        <v>0.30784510271549592</v>
      </c>
    </row>
    <row r="68" spans="1:1">
      <c r="A68" s="3">
        <f t="shared" ca="1" si="1"/>
        <v>0.86307249471993219</v>
      </c>
    </row>
    <row r="69" spans="1:1">
      <c r="A69" s="3">
        <f t="shared" ca="1" si="1"/>
        <v>0.70823981224359123</v>
      </c>
    </row>
    <row r="70" spans="1:1">
      <c r="A70" s="3">
        <f t="shared" ca="1" si="1"/>
        <v>0.85958313713513812</v>
      </c>
    </row>
    <row r="71" spans="1:1">
      <c r="A71" s="3">
        <f t="shared" ca="1" si="1"/>
        <v>0.55290671860670337</v>
      </c>
    </row>
    <row r="72" spans="1:1">
      <c r="A72" s="3">
        <f t="shared" ca="1" si="1"/>
        <v>0.11058899830009661</v>
      </c>
    </row>
    <row r="73" spans="1:1">
      <c r="A73" s="3">
        <f t="shared" ca="1" si="1"/>
        <v>0.46456907601751385</v>
      </c>
    </row>
    <row r="74" spans="1:1">
      <c r="A74" s="3">
        <f t="shared" ca="1" si="1"/>
        <v>0.91905604488991</v>
      </c>
    </row>
    <row r="75" spans="1:1">
      <c r="A75" s="3">
        <f t="shared" ca="1" si="1"/>
        <v>0.96130929705942525</v>
      </c>
    </row>
    <row r="76" spans="1:1">
      <c r="A76" s="3">
        <f t="shared" ca="1" si="1"/>
        <v>0.19563754339464956</v>
      </c>
    </row>
    <row r="77" spans="1:1">
      <c r="A77" s="3">
        <f t="shared" ca="1" si="1"/>
        <v>0.49751108828656099</v>
      </c>
    </row>
    <row r="78" spans="1:1">
      <c r="A78" s="3">
        <f t="shared" ca="1" si="1"/>
        <v>0.33878432367810885</v>
      </c>
    </row>
    <row r="79" spans="1:1">
      <c r="A79" s="3">
        <f t="shared" ca="1" si="1"/>
        <v>0.24503680557946439</v>
      </c>
    </row>
    <row r="80" spans="1:1">
      <c r="A80" s="3">
        <f t="shared" ca="1" si="1"/>
        <v>0.99660490953335545</v>
      </c>
    </row>
    <row r="81" spans="1:1">
      <c r="A81" s="3">
        <f t="shared" ca="1" si="1"/>
        <v>0.76745145286680283</v>
      </c>
    </row>
    <row r="82" spans="1:1">
      <c r="A82" s="3">
        <f t="shared" ca="1" si="1"/>
        <v>0.56038238809493934</v>
      </c>
    </row>
    <row r="83" spans="1:1">
      <c r="A83" s="3">
        <f t="shared" ca="1" si="1"/>
        <v>0.24965274369624912</v>
      </c>
    </row>
    <row r="84" spans="1:1">
      <c r="A84" s="3">
        <f t="shared" ca="1" si="1"/>
        <v>0.5014746228528254</v>
      </c>
    </row>
    <row r="85" spans="1:1">
      <c r="A85" s="3">
        <f t="shared" ca="1" si="1"/>
        <v>3.8175317503725048E-2</v>
      </c>
    </row>
    <row r="86" spans="1:1">
      <c r="A86" s="3">
        <f t="shared" ca="1" si="1"/>
        <v>0.47905407423574708</v>
      </c>
    </row>
    <row r="87" spans="1:1">
      <c r="A87" s="3">
        <f t="shared" ca="1" si="1"/>
        <v>0.9895406150622944</v>
      </c>
    </row>
    <row r="88" spans="1:1">
      <c r="A88" s="3">
        <f t="shared" ca="1" si="1"/>
        <v>0.72971836002432966</v>
      </c>
    </row>
    <row r="89" spans="1:1">
      <c r="A89" s="3">
        <f t="shared" ca="1" si="1"/>
        <v>1.6273172867425356E-2</v>
      </c>
    </row>
    <row r="90" spans="1:1">
      <c r="A90" s="3">
        <f t="shared" ca="1" si="1"/>
        <v>5.5774948393357837E-3</v>
      </c>
    </row>
    <row r="91" spans="1:1">
      <c r="A91" s="3">
        <f t="shared" ca="1" si="1"/>
        <v>0.65672904950284006</v>
      </c>
    </row>
    <row r="92" spans="1:1">
      <c r="A92" s="3">
        <f t="shared" ca="1" si="1"/>
        <v>0.16460660913531588</v>
      </c>
    </row>
    <row r="93" spans="1:1">
      <c r="A93" s="3">
        <f t="shared" ca="1" si="1"/>
        <v>0.61859998650698189</v>
      </c>
    </row>
    <row r="94" spans="1:1">
      <c r="A94" s="3">
        <f t="shared" ca="1" si="1"/>
        <v>0.67588839499786113</v>
      </c>
    </row>
    <row r="95" spans="1:1">
      <c r="A95" s="3">
        <f t="shared" ca="1" si="1"/>
        <v>0.93946086058450839</v>
      </c>
    </row>
    <row r="96" spans="1:1">
      <c r="A96" s="3">
        <f t="shared" ca="1" si="1"/>
        <v>0.37879687505902238</v>
      </c>
    </row>
    <row r="97" spans="1:1">
      <c r="A97" s="3">
        <f t="shared" ca="1" si="1"/>
        <v>0.38407233080760461</v>
      </c>
    </row>
    <row r="98" spans="1:1">
      <c r="A98" s="3">
        <f t="shared" ca="1" si="1"/>
        <v>0.59995631415279604</v>
      </c>
    </row>
    <row r="99" spans="1:1">
      <c r="A99" s="3">
        <f t="shared" ca="1" si="1"/>
        <v>0.92638360756946392</v>
      </c>
    </row>
    <row r="100" spans="1:1">
      <c r="A100" s="3">
        <f t="shared" ca="1" si="1"/>
        <v>0.93087129869368812</v>
      </c>
    </row>
  </sheetData>
  <sortState xmlns:xlrd2="http://schemas.microsoft.com/office/spreadsheetml/2017/richdata2" ref="B18:B27">
    <sortCondition ref="B18"/>
  </sortState>
  <mergeCells count="6">
    <mergeCell ref="D12:O12"/>
    <mergeCell ref="C1:S1"/>
    <mergeCell ref="D3:M3"/>
    <mergeCell ref="D4:M4"/>
    <mergeCell ref="D5:M5"/>
    <mergeCell ref="D6:M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8"/>
  <sheetViews>
    <sheetView workbookViewId="0">
      <selection activeCell="F14" sqref="F14"/>
    </sheetView>
  </sheetViews>
  <sheetFormatPr defaultRowHeight="13.8"/>
  <sheetData>
    <row r="1" spans="1:14" ht="18" customHeight="1">
      <c r="A1" s="22" t="s">
        <v>20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28.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>
      <c r="A3" s="4" t="s">
        <v>25</v>
      </c>
    </row>
    <row r="4" spans="1:14">
      <c r="A4" s="4" t="s">
        <v>21</v>
      </c>
    </row>
    <row r="5" spans="1:14">
      <c r="A5" s="2" t="s">
        <v>2</v>
      </c>
      <c r="B5" s="6" t="s">
        <v>22</v>
      </c>
    </row>
    <row r="6" spans="1:14">
      <c r="A6" s="2" t="s">
        <v>2</v>
      </c>
      <c r="B6" s="6" t="s">
        <v>23</v>
      </c>
    </row>
    <row r="7" spans="1:14">
      <c r="A7" s="2" t="s">
        <v>2</v>
      </c>
      <c r="B7" s="6" t="s">
        <v>24</v>
      </c>
    </row>
    <row r="9" spans="1:14">
      <c r="A9" s="2" t="s">
        <v>27</v>
      </c>
      <c r="B9" t="s">
        <v>26</v>
      </c>
    </row>
    <row r="10" spans="1:14">
      <c r="B10" t="s">
        <v>28</v>
      </c>
    </row>
    <row r="11" spans="1:14">
      <c r="B11" t="s">
        <v>29</v>
      </c>
    </row>
    <row r="12" spans="1:14">
      <c r="B12" t="s">
        <v>30</v>
      </c>
    </row>
    <row r="13" spans="1:14">
      <c r="B13" t="s">
        <v>31</v>
      </c>
    </row>
    <row r="15" spans="1:14">
      <c r="A15" t="s">
        <v>32</v>
      </c>
      <c r="B15">
        <f>_xlfn.NORM.DIST(55,50,5,TRUE) - _xlfn.NORM.DIST(45,50,5,TRUE)</f>
        <v>0.68268949213708607</v>
      </c>
    </row>
    <row r="16" spans="1:14">
      <c r="B16" t="s">
        <v>33</v>
      </c>
    </row>
    <row r="18" spans="1:1">
      <c r="A18" s="4" t="s">
        <v>34</v>
      </c>
    </row>
  </sheetData>
  <mergeCells count="1">
    <mergeCell ref="A1:N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5"/>
  <sheetViews>
    <sheetView topLeftCell="A31" workbookViewId="0">
      <selection activeCell="J35" sqref="J35"/>
    </sheetView>
  </sheetViews>
  <sheetFormatPr defaultRowHeight="13.8"/>
  <sheetData>
    <row r="1" spans="1:16" ht="47.25" customHeight="1" thickBot="1">
      <c r="A1" s="29" t="s">
        <v>35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1"/>
    </row>
    <row r="3" spans="1:16" ht="17.399999999999999">
      <c r="A3" s="32" t="s">
        <v>36</v>
      </c>
      <c r="B3" s="32"/>
      <c r="C3" s="32"/>
      <c r="D3" s="32"/>
      <c r="E3" s="32"/>
      <c r="F3" s="32"/>
      <c r="G3" s="32"/>
      <c r="H3" s="32"/>
      <c r="I3" s="32"/>
      <c r="J3" s="32"/>
    </row>
    <row r="4" spans="1:16" ht="15.6">
      <c r="A4" s="33" t="s">
        <v>38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</row>
    <row r="5" spans="1:16" ht="15">
      <c r="A5" s="23" t="s">
        <v>37</v>
      </c>
      <c r="B5" s="23"/>
      <c r="C5" s="23"/>
    </row>
    <row r="6" spans="1:16" ht="15.6">
      <c r="A6" s="23" t="s">
        <v>39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</row>
    <row r="9" spans="1:16" ht="17.399999999999999">
      <c r="C9" s="5" t="s">
        <v>40</v>
      </c>
    </row>
    <row r="11" spans="1:16">
      <c r="C11" t="s">
        <v>41</v>
      </c>
    </row>
    <row r="13" spans="1:16">
      <c r="B13" t="s">
        <v>42</v>
      </c>
    </row>
    <row r="14" spans="1:16">
      <c r="B14" t="s">
        <v>43</v>
      </c>
    </row>
    <row r="15" spans="1:16">
      <c r="B15" t="s">
        <v>44</v>
      </c>
    </row>
    <row r="17" spans="1:10" ht="17.399999999999999">
      <c r="A17" s="5" t="s">
        <v>45</v>
      </c>
    </row>
    <row r="18" spans="1:10" ht="15">
      <c r="B18" s="26" t="s">
        <v>46</v>
      </c>
      <c r="C18" s="26"/>
      <c r="D18" s="26"/>
    </row>
    <row r="19" spans="1:10" ht="15.6">
      <c r="B19" s="26" t="s">
        <v>47</v>
      </c>
      <c r="C19" s="26"/>
      <c r="D19" s="26"/>
      <c r="E19" s="26"/>
    </row>
    <row r="20" spans="1:10" ht="15.6">
      <c r="B20" s="26" t="s">
        <v>48</v>
      </c>
      <c r="C20" s="26"/>
      <c r="D20" s="26"/>
      <c r="E20" s="26"/>
    </row>
    <row r="21" spans="1:10" ht="15.6">
      <c r="B21" s="26" t="s">
        <v>49</v>
      </c>
      <c r="C21" s="26"/>
      <c r="D21" s="26"/>
      <c r="E21" s="26"/>
      <c r="F21" s="26"/>
      <c r="G21" s="26"/>
      <c r="H21" s="26"/>
      <c r="I21" s="26"/>
      <c r="J21" s="26"/>
    </row>
    <row r="23" spans="1:10">
      <c r="A23" s="4" t="s">
        <v>50</v>
      </c>
    </row>
    <row r="24" spans="1:10">
      <c r="A24" t="s">
        <v>51</v>
      </c>
    </row>
    <row r="25" spans="1:10" ht="14.4" thickBot="1"/>
    <row r="26" spans="1:10" ht="15">
      <c r="C26" s="27" t="s">
        <v>52</v>
      </c>
      <c r="D26" s="12">
        <f>55-50</f>
        <v>5</v>
      </c>
    </row>
    <row r="27" spans="1:10" ht="15.6" thickBot="1">
      <c r="C27" s="28"/>
      <c r="D27" s="13">
        <f>D26/5</f>
        <v>1</v>
      </c>
    </row>
    <row r="29" spans="1:10">
      <c r="B29" t="s">
        <v>53</v>
      </c>
    </row>
    <row r="31" spans="1:10" ht="17.399999999999999">
      <c r="A31" s="5" t="s">
        <v>54</v>
      </c>
    </row>
    <row r="32" spans="1:10" ht="15.6">
      <c r="B32" s="24" t="s">
        <v>55</v>
      </c>
      <c r="C32" s="24"/>
      <c r="D32" s="24"/>
      <c r="E32" s="24"/>
      <c r="F32" s="24"/>
      <c r="G32" s="24"/>
      <c r="H32" s="24"/>
      <c r="I32" s="24"/>
    </row>
    <row r="33" spans="2:9" ht="15">
      <c r="B33" s="25" t="s">
        <v>56</v>
      </c>
      <c r="C33" s="25"/>
      <c r="D33" s="25"/>
      <c r="E33" s="25"/>
      <c r="F33" s="25"/>
      <c r="G33" s="25"/>
      <c r="H33" s="25"/>
      <c r="I33" s="25"/>
    </row>
    <row r="34" spans="2:9" ht="15">
      <c r="B34" s="15"/>
      <c r="C34" s="15"/>
      <c r="D34" s="15"/>
      <c r="E34" s="15"/>
      <c r="F34" s="15"/>
      <c r="G34" s="15"/>
      <c r="H34" s="15"/>
      <c r="I34" s="15"/>
    </row>
    <row r="35" spans="2:9" ht="15.6">
      <c r="B35" s="24" t="s">
        <v>57</v>
      </c>
      <c r="C35" s="24"/>
      <c r="D35" s="24"/>
      <c r="E35" s="24"/>
      <c r="F35" s="24"/>
      <c r="G35" s="24"/>
      <c r="H35" s="24"/>
      <c r="I35" s="24"/>
    </row>
    <row r="36" spans="2:9" ht="15">
      <c r="B36" s="25" t="s">
        <v>58</v>
      </c>
      <c r="C36" s="25"/>
      <c r="D36" s="25"/>
      <c r="E36" s="25"/>
      <c r="F36" s="25"/>
      <c r="G36" s="25"/>
      <c r="H36" s="25"/>
      <c r="I36" s="25"/>
    </row>
    <row r="37" spans="2:9" ht="15">
      <c r="B37" s="15"/>
      <c r="C37" s="15"/>
      <c r="D37" s="15"/>
      <c r="E37" s="15"/>
      <c r="F37" s="15"/>
      <c r="G37" s="15"/>
      <c r="H37" s="15"/>
      <c r="I37" s="15"/>
    </row>
    <row r="38" spans="2:9" ht="15.6">
      <c r="B38" s="24" t="s">
        <v>59</v>
      </c>
      <c r="C38" s="24"/>
      <c r="D38" s="24"/>
      <c r="E38" s="24"/>
      <c r="F38" s="24"/>
      <c r="G38" s="24"/>
      <c r="H38" s="24"/>
      <c r="I38" s="24"/>
    </row>
    <row r="39" spans="2:9" ht="15">
      <c r="B39" s="25" t="s">
        <v>64</v>
      </c>
      <c r="C39" s="25"/>
      <c r="D39" s="25"/>
      <c r="E39" s="25"/>
      <c r="F39" s="25"/>
      <c r="G39" s="25"/>
      <c r="H39" s="25"/>
      <c r="I39" s="25"/>
    </row>
    <row r="40" spans="2:9" ht="15">
      <c r="B40" s="15"/>
      <c r="C40" s="15"/>
      <c r="D40" s="15"/>
      <c r="E40" s="15"/>
      <c r="F40" s="15"/>
      <c r="G40" s="15"/>
      <c r="H40" s="15"/>
      <c r="I40" s="15"/>
    </row>
    <row r="41" spans="2:9" ht="15.6">
      <c r="B41" s="24" t="s">
        <v>60</v>
      </c>
      <c r="C41" s="24"/>
      <c r="D41" s="24"/>
      <c r="E41" s="24"/>
      <c r="F41" s="24"/>
      <c r="G41" s="24"/>
      <c r="H41" s="24"/>
      <c r="I41" s="24"/>
    </row>
    <row r="42" spans="2:9" ht="15">
      <c r="B42" s="25" t="s">
        <v>61</v>
      </c>
      <c r="C42" s="25"/>
      <c r="D42" s="25"/>
      <c r="E42" s="25"/>
      <c r="F42" s="25"/>
      <c r="G42" s="25"/>
      <c r="H42" s="25"/>
      <c r="I42" s="25"/>
    </row>
    <row r="43" spans="2:9" ht="15">
      <c r="B43" s="15"/>
      <c r="C43" s="15"/>
      <c r="D43" s="15"/>
      <c r="E43" s="15"/>
      <c r="F43" s="15"/>
      <c r="G43" s="15"/>
      <c r="H43" s="15"/>
      <c r="I43" s="15"/>
    </row>
    <row r="44" spans="2:9" ht="15.6">
      <c r="B44" s="24" t="s">
        <v>62</v>
      </c>
      <c r="C44" s="24"/>
      <c r="D44" s="24"/>
      <c r="E44" s="24"/>
      <c r="F44" s="24"/>
      <c r="G44" s="24"/>
      <c r="H44" s="24"/>
      <c r="I44" s="24"/>
    </row>
    <row r="45" spans="2:9" ht="15">
      <c r="B45" s="25" t="s">
        <v>63</v>
      </c>
      <c r="C45" s="25"/>
      <c r="D45" s="25"/>
      <c r="E45" s="25"/>
      <c r="F45" s="25"/>
      <c r="G45" s="25"/>
      <c r="H45" s="25"/>
      <c r="I45" s="25"/>
    </row>
  </sheetData>
  <mergeCells count="20">
    <mergeCell ref="B33:I33"/>
    <mergeCell ref="A1:P1"/>
    <mergeCell ref="A3:J3"/>
    <mergeCell ref="A4:P4"/>
    <mergeCell ref="A5:C5"/>
    <mergeCell ref="A6:N6"/>
    <mergeCell ref="B18:D18"/>
    <mergeCell ref="B21:J21"/>
    <mergeCell ref="B20:E20"/>
    <mergeCell ref="B19:E19"/>
    <mergeCell ref="C26:C27"/>
    <mergeCell ref="B32:I32"/>
    <mergeCell ref="B44:I44"/>
    <mergeCell ref="B45:I45"/>
    <mergeCell ref="B35:I35"/>
    <mergeCell ref="B36:I36"/>
    <mergeCell ref="B38:I38"/>
    <mergeCell ref="B39:I39"/>
    <mergeCell ref="B41:I41"/>
    <mergeCell ref="B42:I4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7"/>
  <sheetViews>
    <sheetView tabSelected="1" workbookViewId="0">
      <selection activeCell="B12" sqref="B12"/>
    </sheetView>
  </sheetViews>
  <sheetFormatPr defaultRowHeight="13.8"/>
  <sheetData>
    <row r="1" spans="1:8" ht="24.6">
      <c r="A1" s="42" t="s">
        <v>65</v>
      </c>
      <c r="B1" s="42"/>
      <c r="C1" s="42"/>
      <c r="D1" s="42"/>
      <c r="E1" s="42"/>
      <c r="F1" s="42"/>
      <c r="G1" s="42"/>
      <c r="H1" s="42"/>
    </row>
    <row r="2" spans="1:8" ht="21">
      <c r="A2" s="34" t="s">
        <v>67</v>
      </c>
      <c r="B2" s="34"/>
    </row>
    <row r="3" spans="1:8" ht="17.399999999999999">
      <c r="A3" s="5" t="s">
        <v>66</v>
      </c>
    </row>
    <row r="4" spans="1:8" ht="15.6">
      <c r="A4" s="39" t="s">
        <v>113</v>
      </c>
    </row>
    <row r="6" spans="1:8" ht="15.6">
      <c r="B6" s="1" t="s">
        <v>114</v>
      </c>
    </row>
    <row r="8" spans="1:8" ht="17.399999999999999">
      <c r="A8" s="5" t="s">
        <v>68</v>
      </c>
    </row>
    <row r="9" spans="1:8" ht="15.6">
      <c r="B9" s="1" t="s">
        <v>115</v>
      </c>
    </row>
    <row r="11" spans="1:8" ht="17.399999999999999">
      <c r="A11" s="11" t="s">
        <v>69</v>
      </c>
    </row>
    <row r="12" spans="1:8" ht="15.6">
      <c r="A12" s="7" t="s">
        <v>2</v>
      </c>
      <c r="B12" s="16" t="s">
        <v>71</v>
      </c>
    </row>
    <row r="13" spans="1:8" ht="15.6">
      <c r="A13" s="7" t="s">
        <v>2</v>
      </c>
      <c r="B13" s="16" t="s">
        <v>72</v>
      </c>
    </row>
    <row r="14" spans="1:8" ht="15">
      <c r="A14" s="7" t="s">
        <v>2</v>
      </c>
      <c r="B14" s="16" t="s">
        <v>70</v>
      </c>
    </row>
    <row r="15" spans="1:8" ht="15.6">
      <c r="B15" s="1" t="s">
        <v>73</v>
      </c>
    </row>
    <row r="16" spans="1:8" ht="15">
      <c r="B16" s="1"/>
    </row>
    <row r="17" spans="1:2" ht="17.399999999999999">
      <c r="A17" s="17" t="s">
        <v>74</v>
      </c>
    </row>
    <row r="18" spans="1:2" ht="15.6">
      <c r="B18" s="16" t="s">
        <v>78</v>
      </c>
    </row>
    <row r="19" spans="1:2" ht="15.6">
      <c r="B19" s="14" t="s">
        <v>75</v>
      </c>
    </row>
    <row r="20" spans="1:2" ht="15.6">
      <c r="B20" s="14" t="s">
        <v>79</v>
      </c>
    </row>
    <row r="21" spans="1:2" ht="15.6">
      <c r="B21" s="1" t="s">
        <v>80</v>
      </c>
    </row>
    <row r="23" spans="1:2" ht="17.399999999999999">
      <c r="A23" s="17" t="s">
        <v>76</v>
      </c>
    </row>
    <row r="24" spans="1:2" ht="15.6">
      <c r="B24" s="16" t="s">
        <v>81</v>
      </c>
    </row>
    <row r="25" spans="1:2" ht="15.6">
      <c r="B25" s="14" t="s">
        <v>77</v>
      </c>
    </row>
    <row r="26" spans="1:2" ht="15.6">
      <c r="B26" s="14" t="s">
        <v>82</v>
      </c>
    </row>
    <row r="27" spans="1:2" ht="15.6">
      <c r="B27" s="1" t="s">
        <v>83</v>
      </c>
    </row>
  </sheetData>
  <mergeCells count="2">
    <mergeCell ref="A2:B2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5"/>
  <sheetViews>
    <sheetView workbookViewId="0">
      <selection activeCell="I10" sqref="I10"/>
    </sheetView>
  </sheetViews>
  <sheetFormatPr defaultRowHeight="13.8"/>
  <sheetData>
    <row r="1" spans="1:13" ht="17.399999999999999">
      <c r="A1" s="35" t="s">
        <v>84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3" spans="1:13">
      <c r="A3" t="s">
        <v>85</v>
      </c>
    </row>
    <row r="5" spans="1:13" ht="17.399999999999999">
      <c r="A5" s="5" t="s">
        <v>86</v>
      </c>
    </row>
    <row r="6" spans="1:13" ht="15.6">
      <c r="B6" s="16" t="s">
        <v>89</v>
      </c>
    </row>
    <row r="7" spans="1:13" ht="15.6">
      <c r="B7" s="16" t="s">
        <v>90</v>
      </c>
    </row>
    <row r="8" spans="1:13" ht="15">
      <c r="B8" s="16" t="s">
        <v>87</v>
      </c>
    </row>
    <row r="9" spans="1:13" ht="14.4" thickBot="1"/>
    <row r="10" spans="1:13" ht="18" thickBot="1">
      <c r="B10" s="36" t="s">
        <v>88</v>
      </c>
      <c r="C10" s="37"/>
      <c r="D10" s="37"/>
      <c r="E10" s="37"/>
      <c r="F10" s="38"/>
    </row>
    <row r="13" spans="1:13" s="1" customFormat="1" ht="15.6">
      <c r="A13" s="16" t="s">
        <v>92</v>
      </c>
    </row>
    <row r="14" spans="1:13" s="18" customFormat="1" ht="17.399999999999999">
      <c r="A14" s="17" t="s">
        <v>15</v>
      </c>
    </row>
    <row r="15" spans="1:13" s="1" customFormat="1" ht="15">
      <c r="B15" s="1" t="s">
        <v>91</v>
      </c>
    </row>
  </sheetData>
  <mergeCells count="2">
    <mergeCell ref="A1:M1"/>
    <mergeCell ref="B10:F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3"/>
  <sheetViews>
    <sheetView topLeftCell="A4" workbookViewId="0">
      <selection activeCell="M5" sqref="M5"/>
    </sheetView>
  </sheetViews>
  <sheetFormatPr defaultRowHeight="13.8"/>
  <sheetData>
    <row r="1" spans="1:16" ht="17.399999999999999">
      <c r="A1" s="35" t="s">
        <v>93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3" spans="1:16" ht="22.8">
      <c r="B3" s="19" t="s">
        <v>94</v>
      </c>
    </row>
    <row r="4" spans="1:16" ht="17.399999999999999">
      <c r="A4" s="20" t="s">
        <v>2</v>
      </c>
      <c r="B4" s="16" t="s">
        <v>95</v>
      </c>
    </row>
    <row r="5" spans="1:16" ht="17.399999999999999">
      <c r="A5" s="20" t="s">
        <v>2</v>
      </c>
      <c r="B5" s="16" t="s">
        <v>96</v>
      </c>
    </row>
    <row r="6" spans="1:16" ht="17.399999999999999">
      <c r="A6" s="20" t="s">
        <v>2</v>
      </c>
      <c r="B6" s="16" t="s">
        <v>97</v>
      </c>
    </row>
    <row r="8" spans="1:16">
      <c r="A8" t="s">
        <v>98</v>
      </c>
    </row>
    <row r="9" spans="1:16">
      <c r="B9" t="s">
        <v>99</v>
      </c>
    </row>
    <row r="10" spans="1:16" ht="14.4" thickBot="1"/>
    <row r="11" spans="1:16" ht="18" thickBot="1">
      <c r="B11" s="21">
        <f>1 - _xlfn.BINOM.DIST(7,15,0.5,TRUE)</f>
        <v>0.5</v>
      </c>
    </row>
    <row r="12" spans="1:16">
      <c r="A12" t="s">
        <v>98</v>
      </c>
    </row>
    <row r="13" spans="1:16" ht="15.6">
      <c r="B13" s="1" t="s">
        <v>100</v>
      </c>
    </row>
  </sheetData>
  <mergeCells count="1">
    <mergeCell ref="A1:P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BB534-76CF-4E72-9178-18660E77C8E0}">
  <dimension ref="A1:P24"/>
  <sheetViews>
    <sheetView topLeftCell="A23" workbookViewId="0">
      <selection activeCell="M19" sqref="M19"/>
    </sheetView>
  </sheetViews>
  <sheetFormatPr defaultRowHeight="13.8"/>
  <cols>
    <col min="2" max="2" width="9.69921875" customWidth="1"/>
  </cols>
  <sheetData>
    <row r="1" spans="1:16" ht="21">
      <c r="A1" s="34" t="s">
        <v>101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3" spans="1:16" ht="21">
      <c r="A3" s="41" t="s">
        <v>102</v>
      </c>
    </row>
    <row r="4" spans="1:16" ht="18">
      <c r="B4" s="40" t="s">
        <v>103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</row>
    <row r="5" spans="1:16" ht="18">
      <c r="B5" s="40" t="s">
        <v>104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</row>
    <row r="6" spans="1:16" ht="18">
      <c r="B6" s="40" t="s">
        <v>105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</row>
    <row r="8" spans="1:16" ht="21">
      <c r="A8" s="41" t="s">
        <v>50</v>
      </c>
    </row>
    <row r="9" spans="1:16" ht="18">
      <c r="B9" s="40" t="s">
        <v>106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</row>
    <row r="10" spans="1:16" ht="18">
      <c r="B10" s="40" t="s">
        <v>107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</row>
    <row r="12" spans="1:16" ht="21">
      <c r="A12" s="41" t="s">
        <v>108</v>
      </c>
    </row>
    <row r="13" spans="1:16" ht="18">
      <c r="B13" s="40" t="s">
        <v>109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</row>
    <row r="14" spans="1:16" ht="18">
      <c r="B14" s="40" t="s">
        <v>110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</row>
    <row r="15" spans="1:16" ht="18">
      <c r="B15" s="40" t="s">
        <v>111</v>
      </c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</row>
    <row r="17" spans="1:2" ht="21">
      <c r="A17" s="41" t="s">
        <v>112</v>
      </c>
    </row>
    <row r="18" spans="1:2" ht="21">
      <c r="A18" s="41">
        <v>1</v>
      </c>
      <c r="B18" s="11">
        <f>LOG(A18+1)</f>
        <v>0.3010299956639812</v>
      </c>
    </row>
    <row r="19" spans="1:2" ht="21">
      <c r="A19" s="41">
        <v>5</v>
      </c>
      <c r="B19" s="11">
        <f t="shared" ref="B19:B24" si="0">LOG(A19+1)</f>
        <v>0.77815125038364363</v>
      </c>
    </row>
    <row r="20" spans="1:2" ht="21">
      <c r="A20" s="41">
        <v>10</v>
      </c>
      <c r="B20" s="11">
        <f t="shared" si="0"/>
        <v>1.0413926851582251</v>
      </c>
    </row>
    <row r="21" spans="1:2" ht="21">
      <c r="A21" s="41">
        <v>50</v>
      </c>
      <c r="B21" s="11">
        <f t="shared" si="0"/>
        <v>1.7075701760979363</v>
      </c>
    </row>
    <row r="22" spans="1:2" ht="21">
      <c r="A22" s="41">
        <v>100</v>
      </c>
      <c r="B22" s="11">
        <f t="shared" si="0"/>
        <v>2.0043213737826426</v>
      </c>
    </row>
    <row r="23" spans="1:2" ht="21">
      <c r="A23" s="41">
        <v>500</v>
      </c>
      <c r="B23" s="11">
        <f t="shared" si="0"/>
        <v>2.6998377258672459</v>
      </c>
    </row>
    <row r="24" spans="1:2" ht="28.8" customHeight="1">
      <c r="A24" s="41">
        <v>1000</v>
      </c>
      <c r="B24" s="11">
        <f t="shared" si="0"/>
        <v>3.0004340774793188</v>
      </c>
    </row>
  </sheetData>
  <mergeCells count="9">
    <mergeCell ref="B13:N13"/>
    <mergeCell ref="B14:N14"/>
    <mergeCell ref="B15:N15"/>
    <mergeCell ref="A1:P1"/>
    <mergeCell ref="B4:N4"/>
    <mergeCell ref="B5:N5"/>
    <mergeCell ref="B6:N6"/>
    <mergeCell ref="B9:N9"/>
    <mergeCell ref="B10:N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Divya Maskar</cp:lastModifiedBy>
  <dcterms:created xsi:type="dcterms:W3CDTF">2026-01-23T06:56:01Z</dcterms:created>
  <dcterms:modified xsi:type="dcterms:W3CDTF">2026-01-23T18:03:49Z</dcterms:modified>
</cp:coreProperties>
</file>