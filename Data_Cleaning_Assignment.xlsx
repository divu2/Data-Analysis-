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S\"/>
    </mc:Choice>
  </mc:AlternateContent>
  <xr:revisionPtr revIDLastSave="0" documentId="13_ncr:1_{F9AB6A82-8C5D-4E9A-AE00-8069430CDB36}" xr6:coauthVersionLast="47" xr6:coauthVersionMax="47" xr10:uidLastSave="{00000000-0000-0000-0000-000000000000}"/>
  <bookViews>
    <workbookView xWindow="-108" yWindow="-108" windowWidth="23256" windowHeight="12456" activeTab="8" xr2:uid="{00000000-000D-0000-FFFF-FFFF00000000}"/>
  </bookViews>
  <sheets>
    <sheet name="Cover Page " sheetId="1" r:id="rId1"/>
    <sheet name="Q1" sheetId="2" r:id="rId2"/>
    <sheet name="Q2" sheetId="3" r:id="rId3"/>
    <sheet name="Q3" sheetId="4" r:id="rId4"/>
    <sheet name="Q4" sheetId="5" r:id="rId5"/>
    <sheet name="Q5" sheetId="6" r:id="rId6"/>
    <sheet name="Q6" sheetId="7" r:id="rId7"/>
    <sheet name="Q7" sheetId="8" r:id="rId8"/>
    <sheet name="Q8"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8" l="1"/>
  <c r="B8" i="8"/>
  <c r="B18" i="9"/>
  <c r="D22" i="8"/>
  <c r="D23" i="8"/>
  <c r="D21" i="8"/>
  <c r="B11" i="8"/>
  <c r="B4" i="8"/>
  <c r="B30" i="7"/>
  <c r="B24" i="7"/>
  <c r="B17" i="7"/>
  <c r="B12" i="7"/>
  <c r="B6" i="7"/>
  <c r="E69" i="4" l="1"/>
  <c r="E70" i="4"/>
  <c r="E71" i="4"/>
  <c r="E72" i="4"/>
  <c r="E73" i="4"/>
  <c r="E74" i="4"/>
  <c r="E75" i="4"/>
  <c r="E76" i="4"/>
  <c r="E68" i="4"/>
  <c r="C69" i="4"/>
  <c r="D69" i="4"/>
  <c r="F69" i="4" s="1"/>
  <c r="C70" i="4"/>
  <c r="D70" i="4"/>
  <c r="F70" i="4" s="1"/>
  <c r="C71" i="4"/>
  <c r="D71" i="4"/>
  <c r="F71" i="4" s="1"/>
  <c r="C72" i="4"/>
  <c r="D72" i="4"/>
  <c r="F72" i="4" s="1"/>
  <c r="C73" i="4"/>
  <c r="D73" i="4"/>
  <c r="F73" i="4" s="1"/>
  <c r="C74" i="4"/>
  <c r="D74" i="4"/>
  <c r="F74" i="4" s="1"/>
  <c r="C75" i="4"/>
  <c r="D75" i="4"/>
  <c r="F75" i="4" s="1"/>
  <c r="C76" i="4"/>
  <c r="D76" i="4"/>
  <c r="F76" i="4" s="1"/>
  <c r="C77" i="4"/>
  <c r="D68" i="4"/>
  <c r="F68" i="4" s="1"/>
  <c r="C68" i="4"/>
  <c r="C54" i="4"/>
  <c r="C55" i="4"/>
  <c r="C56" i="4"/>
  <c r="C57" i="4"/>
  <c r="C58" i="4"/>
  <c r="C59" i="4"/>
  <c r="C60" i="4"/>
  <c r="C61" i="4"/>
  <c r="C53" i="4"/>
  <c r="C38" i="4"/>
  <c r="C39" i="4"/>
  <c r="C40" i="4"/>
  <c r="C41" i="4"/>
  <c r="C42" i="4"/>
  <c r="C43" i="4"/>
  <c r="C44" i="4"/>
  <c r="C45" i="4"/>
  <c r="C46" i="4"/>
  <c r="C24" i="4"/>
  <c r="C25" i="4"/>
  <c r="C26" i="4"/>
  <c r="C27" i="4"/>
  <c r="C28" i="4"/>
  <c r="C29" i="4"/>
  <c r="C30" i="4"/>
  <c r="C31" i="4"/>
  <c r="C23" i="4"/>
  <c r="C9" i="4"/>
  <c r="C10" i="4"/>
  <c r="C11" i="4"/>
  <c r="C12" i="4"/>
  <c r="C13" i="4"/>
  <c r="C14" i="4"/>
  <c r="C15" i="4"/>
  <c r="C16" i="4"/>
  <c r="C8" i="4"/>
</calcChain>
</file>

<file path=xl/sharedStrings.xml><?xml version="1.0" encoding="utf-8"?>
<sst xmlns="http://schemas.openxmlformats.org/spreadsheetml/2006/main" count="257" uniqueCount="168">
  <si>
    <t>Please enter a whole number between 1 and 10.</t>
  </si>
  <si>
    <t>Invalid input! The quantity must be a whole number between 1 and 10.</t>
  </si>
  <si>
    <t>Q1. What is data cleaning, and why is it important in data analysis?</t>
  </si>
  <si>
    <t xml:space="preserve">Answer - </t>
  </si>
  <si>
    <t xml:space="preserve">              -  Data cleaning is the process of identifying and correcting errors in a dataset, such as removing duplicate records, fixing incorrect or inconsistent data, handling missing values, and standardizing data formats. It is important in data analysis because clean data improves accuracy, ensures reliable results, reduces errors in analysis, and helps in making correct and informed decisions.</t>
  </si>
  <si>
    <t>Analyzing unclean or messy data can lead to incorrect results and wrong conclusions.It may cause inaccurate reports, poor decision-making, and misinterpretation of data.Messy data also increases the chances of errors, wastes time, and reduces trust in the analysis and final output.</t>
  </si>
  <si>
    <t>The common steps involved in cleaning and organizing data are as follows :</t>
  </si>
  <si>
    <t>First, remove duplicate records to avoid repeated data.</t>
  </si>
  <si>
    <t>Second, handle missing or blank values by filling them or removing incomplete entries.</t>
  </si>
  <si>
    <t>Third, correct incorrect data formats such as dates, numbers, and text for consistency.</t>
  </si>
  <si>
    <t>Next, remove extra spaces and fix spelling errors to maintain uniform text.</t>
  </si>
  <si>
    <t>Finally, organize the data using sorting, filtering, and data validation to make it accurate and ready for analysis.</t>
  </si>
  <si>
    <t xml:space="preserve">    - Explain the common steps involved in cleaning and organizing data</t>
  </si>
  <si>
    <t xml:space="preserve">  -   What are the potential consequences of analyzing unclean or messy data?</t>
  </si>
  <si>
    <t>Q2.How would you sort the following dataset first by "Department" (A-Z) and then by "Salary" (Largest toSmallest)? Write a step-by-step approach.</t>
  </si>
  <si>
    <t xml:space="preserve">Employee </t>
  </si>
  <si>
    <t xml:space="preserve">Department </t>
  </si>
  <si>
    <t xml:space="preserve">Salary </t>
  </si>
  <si>
    <t xml:space="preserve">Sonu </t>
  </si>
  <si>
    <t xml:space="preserve">Pranav </t>
  </si>
  <si>
    <t xml:space="preserve">Rahul </t>
  </si>
  <si>
    <t xml:space="preserve">IT </t>
  </si>
  <si>
    <t xml:space="preserve">HR </t>
  </si>
  <si>
    <t>First, select the entire dataset including headers.</t>
  </si>
  <si>
    <r>
      <t xml:space="preserve">Go to the </t>
    </r>
    <r>
      <rPr>
        <b/>
        <sz val="16"/>
        <color theme="1"/>
        <rFont val="Calibri"/>
        <family val="2"/>
        <scheme val="minor"/>
      </rPr>
      <t>Data</t>
    </r>
    <r>
      <rPr>
        <sz val="16"/>
        <color theme="1"/>
        <rFont val="Calibri"/>
        <family val="2"/>
        <scheme val="minor"/>
      </rPr>
      <t xml:space="preserve"> tab and click on </t>
    </r>
    <r>
      <rPr>
        <b/>
        <sz val="16"/>
        <color theme="1"/>
        <rFont val="Calibri"/>
        <family val="2"/>
        <scheme val="minor"/>
      </rPr>
      <t>Sort</t>
    </r>
    <r>
      <rPr>
        <sz val="16"/>
        <color theme="1"/>
        <rFont val="Calibri"/>
        <family val="2"/>
        <scheme val="minor"/>
      </rPr>
      <t>.</t>
    </r>
  </si>
  <si>
    <r>
      <t xml:space="preserve">In the </t>
    </r>
    <r>
      <rPr>
        <b/>
        <sz val="16"/>
        <color theme="1"/>
        <rFont val="Calibri"/>
        <family val="2"/>
        <scheme val="minor"/>
      </rPr>
      <t>Sort by</t>
    </r>
    <r>
      <rPr>
        <sz val="16"/>
        <color theme="1"/>
        <rFont val="Calibri"/>
        <family val="2"/>
        <scheme val="minor"/>
      </rPr>
      <t xml:space="preserve"> field, select </t>
    </r>
    <r>
      <rPr>
        <b/>
        <sz val="16"/>
        <color theme="1"/>
        <rFont val="Calibri"/>
        <family val="2"/>
        <scheme val="minor"/>
      </rPr>
      <t>Department</t>
    </r>
    <r>
      <rPr>
        <sz val="16"/>
        <color theme="1"/>
        <rFont val="Calibri"/>
        <family val="2"/>
        <scheme val="minor"/>
      </rPr>
      <t xml:space="preserve"> and choose </t>
    </r>
    <r>
      <rPr>
        <b/>
        <sz val="16"/>
        <color theme="1"/>
        <rFont val="Calibri"/>
        <family val="2"/>
        <scheme val="minor"/>
      </rPr>
      <t>A–Z</t>
    </r>
    <r>
      <rPr>
        <sz val="16"/>
        <color theme="1"/>
        <rFont val="Calibri"/>
        <family val="2"/>
        <scheme val="minor"/>
      </rPr>
      <t xml:space="preserve"> order.</t>
    </r>
  </si>
  <si>
    <r>
      <t xml:space="preserve">Click on </t>
    </r>
    <r>
      <rPr>
        <b/>
        <sz val="16"/>
        <color theme="1"/>
        <rFont val="Calibri"/>
        <family val="2"/>
        <scheme val="minor"/>
      </rPr>
      <t>Add Level</t>
    </r>
    <r>
      <rPr>
        <sz val="16"/>
        <color theme="1"/>
        <rFont val="Calibri"/>
        <family val="2"/>
        <scheme val="minor"/>
      </rPr>
      <t xml:space="preserve">, then select </t>
    </r>
    <r>
      <rPr>
        <b/>
        <sz val="16"/>
        <color theme="1"/>
        <rFont val="Calibri"/>
        <family val="2"/>
        <scheme val="minor"/>
      </rPr>
      <t>Salary</t>
    </r>
    <r>
      <rPr>
        <sz val="16"/>
        <color theme="1"/>
        <rFont val="Calibri"/>
        <family val="2"/>
        <scheme val="minor"/>
      </rPr>
      <t xml:space="preserve"> and choose </t>
    </r>
    <r>
      <rPr>
        <b/>
        <sz val="16"/>
        <color theme="1"/>
        <rFont val="Calibri"/>
        <family val="2"/>
        <scheme val="minor"/>
      </rPr>
      <t>Largest to Smallest</t>
    </r>
    <r>
      <rPr>
        <sz val="16"/>
        <color theme="1"/>
        <rFont val="Calibri"/>
        <family val="2"/>
        <scheme val="minor"/>
      </rPr>
      <t xml:space="preserve"> order.</t>
    </r>
  </si>
  <si>
    <r>
      <t xml:space="preserve">Finally, click </t>
    </r>
    <r>
      <rPr>
        <b/>
        <sz val="16"/>
        <color theme="1"/>
        <rFont val="Calibri"/>
        <family val="2"/>
        <scheme val="minor"/>
      </rPr>
      <t>OK</t>
    </r>
    <r>
      <rPr>
        <sz val="16"/>
        <color theme="1"/>
        <rFont val="Calibri"/>
        <family val="2"/>
        <scheme val="minor"/>
      </rPr>
      <t xml:space="preserve"> to apply the sorting.</t>
    </r>
  </si>
  <si>
    <t>Sorted Output :-</t>
  </si>
  <si>
    <t>Q3. Explain the use of text functions such as TRIM, LEFT, RIGHT, MID, and CONCAT in data cleaning</t>
  </si>
  <si>
    <t>Answer:</t>
  </si>
  <si>
    <t xml:space="preserve">   -  Text functions in Excel are widely used during data cleaning to correct, format, and organize Text data.</t>
  </si>
  <si>
    <t>1. TRIM</t>
  </si>
  <si>
    <t>Removes extra spaces from text (except single spaces between words).</t>
  </si>
  <si>
    <t>-</t>
  </si>
  <si>
    <t>NAMES</t>
  </si>
  <si>
    <t>Satyam      Dubey</t>
  </si>
  <si>
    <t>Ishika kh     anna</t>
  </si>
  <si>
    <t>Vikas       singh</t>
  </si>
  <si>
    <t>paul      Bengali</t>
  </si>
  <si>
    <t>Ritisha        Sharma</t>
  </si>
  <si>
    <t>Abha tiwari</t>
  </si>
  <si>
    <t>Camelia Mitra</t>
  </si>
  <si>
    <t>Akshay    surve</t>
  </si>
  <si>
    <t>namit singh</t>
  </si>
  <si>
    <t xml:space="preserve">TRIM </t>
  </si>
  <si>
    <t xml:space="preserve">2. LEFT </t>
  </si>
  <si>
    <t>Extracts a specified number of characters from the left side of a text.</t>
  </si>
  <si>
    <t xml:space="preserve">LEFT </t>
  </si>
  <si>
    <t>Example :-</t>
  </si>
  <si>
    <t>3. RIGHT</t>
  </si>
  <si>
    <t>Extracts characters from the right side of a text</t>
  </si>
  <si>
    <t>RIGHT</t>
  </si>
  <si>
    <t xml:space="preserve">4. MID </t>
  </si>
  <si>
    <t>Extracts text from the middle of a string based on position.</t>
  </si>
  <si>
    <t>MID</t>
  </si>
  <si>
    <t>5. CONCAT</t>
  </si>
  <si>
    <t>Joins multiple text values into one string.</t>
  </si>
  <si>
    <t xml:space="preserve">CONCAT </t>
  </si>
  <si>
    <t xml:space="preserve">First Name </t>
  </si>
  <si>
    <t xml:space="preserve">Last Name </t>
  </si>
  <si>
    <t xml:space="preserve">           Date functions like TODAY are used to display the current date automatically in Excel. They help in tracking deadlines, calculating remaining days, and updating reports without manual changes.The TODAY function updates automatically whenever the worksheet is opened or recalculated, which makes data management more accurate and efficient.</t>
  </si>
  <si>
    <t>Q4.What is the role of date functions like TODAY in managing datasets ?</t>
  </si>
  <si>
    <t>Q5. Apply Data Validation to restrict Quantity values to only whole numbers between 1 and 10.
a. Configure an input message that appears when a user selects a cell in the "Quantity" column explaining:_x000B_"Please enter a whole number between 1 and 10."
b.Set up an error alert message that triggers if the user enters a number less than 1 or greater than 10,
showing:
"Invalid input! The quantity must be a whole number between 1 and 10."</t>
  </si>
  <si>
    <t xml:space="preserve">Customer Name </t>
  </si>
  <si>
    <t>Jane Smith</t>
  </si>
  <si>
    <t>Isabella Moore</t>
  </si>
  <si>
    <t>Daniel Davis</t>
  </si>
  <si>
    <t>Alex Moore</t>
  </si>
  <si>
    <t>Michael Johnson</t>
  </si>
  <si>
    <t>Daniel Johnson</t>
  </si>
  <si>
    <t>Isabella Davis</t>
  </si>
  <si>
    <t>Jane Davis</t>
  </si>
  <si>
    <t>Alex Wilson</t>
  </si>
  <si>
    <t>Product Name</t>
  </si>
  <si>
    <t>Category</t>
  </si>
  <si>
    <t>Quantity</t>
  </si>
  <si>
    <t>Unit Price ($)</t>
  </si>
  <si>
    <t>Shoes</t>
  </si>
  <si>
    <t>Laptop</t>
  </si>
  <si>
    <t>Sofa</t>
  </si>
  <si>
    <t>Table Lamp</t>
  </si>
  <si>
    <t>Backpack</t>
  </si>
  <si>
    <t>Headphones</t>
  </si>
  <si>
    <t xml:space="preserve">Headphones </t>
  </si>
  <si>
    <t xml:space="preserve">T—shirt   </t>
  </si>
  <si>
    <t xml:space="preserve">Electronics </t>
  </si>
  <si>
    <t xml:space="preserve">Clothing </t>
  </si>
  <si>
    <t xml:space="preserve">Home decor </t>
  </si>
  <si>
    <t>Write a step-by-step approach for this question.</t>
  </si>
  <si>
    <t>Step-by-Step Approach:</t>
  </si>
  <si>
    <r>
      <t xml:space="preserve">1. First, open the Excel sheet containing the dataset and identify the </t>
    </r>
    <r>
      <rPr>
        <b/>
        <sz val="14"/>
        <color theme="1"/>
        <rFont val="Calibri"/>
        <family val="2"/>
        <scheme val="minor"/>
      </rPr>
      <t>Quantity</t>
    </r>
    <r>
      <rPr>
        <sz val="14"/>
        <color theme="1"/>
        <rFont val="Calibri"/>
        <family val="2"/>
        <scheme val="minor"/>
      </rPr>
      <t xml:space="preserve"> column.</t>
    </r>
  </si>
  <si>
    <r>
      <t xml:space="preserve">2. Select all the cells under the </t>
    </r>
    <r>
      <rPr>
        <b/>
        <sz val="14"/>
        <color theme="1"/>
        <rFont val="Calibri"/>
        <family val="2"/>
        <scheme val="minor"/>
      </rPr>
      <t>Quantity</t>
    </r>
    <r>
      <rPr>
        <sz val="14"/>
        <color theme="1"/>
        <rFont val="Calibri"/>
        <family val="2"/>
        <scheme val="minor"/>
      </rPr>
      <t xml:space="preserve"> column where the data needs to be entered.</t>
    </r>
  </si>
  <si>
    <r>
      <t xml:space="preserve">3. Go to the </t>
    </r>
    <r>
      <rPr>
        <b/>
        <sz val="14"/>
        <color theme="1"/>
        <rFont val="Calibri"/>
        <family val="2"/>
        <scheme val="minor"/>
      </rPr>
      <t>Data</t>
    </r>
    <r>
      <rPr>
        <sz val="14"/>
        <color theme="1"/>
        <rFont val="Calibri"/>
        <family val="2"/>
        <scheme val="minor"/>
      </rPr>
      <t xml:space="preserve"> tab on the Excel ribbon and click on </t>
    </r>
    <r>
      <rPr>
        <b/>
        <sz val="14"/>
        <color theme="1"/>
        <rFont val="Calibri"/>
        <family val="2"/>
        <scheme val="minor"/>
      </rPr>
      <t>Data Validation</t>
    </r>
    <r>
      <rPr>
        <sz val="14"/>
        <color theme="1"/>
        <rFont val="Calibri"/>
        <family val="2"/>
        <scheme val="minor"/>
      </rPr>
      <t>.</t>
    </r>
  </si>
  <si>
    <r>
      <t xml:space="preserve">4. In the </t>
    </r>
    <r>
      <rPr>
        <b/>
        <sz val="14"/>
        <color theme="1"/>
        <rFont val="Calibri"/>
        <family val="2"/>
        <scheme val="minor"/>
      </rPr>
      <t>Settings</t>
    </r>
    <r>
      <rPr>
        <sz val="14"/>
        <color theme="1"/>
        <rFont val="Calibri"/>
        <family val="2"/>
        <scheme val="minor"/>
      </rPr>
      <t xml:space="preserve"> tab of the Data Validation dialog box:</t>
    </r>
  </si>
  <si>
    <r>
      <t xml:space="preserve">Set </t>
    </r>
    <r>
      <rPr>
        <b/>
        <sz val="14"/>
        <color theme="1"/>
        <rFont val="Calibri"/>
        <family val="2"/>
        <scheme val="minor"/>
      </rPr>
      <t>Allow</t>
    </r>
    <r>
      <rPr>
        <sz val="14"/>
        <color theme="1"/>
        <rFont val="Calibri"/>
        <family val="2"/>
        <scheme val="minor"/>
      </rPr>
      <t xml:space="preserve"> to </t>
    </r>
    <r>
      <rPr>
        <b/>
        <sz val="14"/>
        <color theme="1"/>
        <rFont val="Calibri"/>
        <family val="2"/>
        <scheme val="minor"/>
      </rPr>
      <t>Whole Number</t>
    </r>
  </si>
  <si>
    <r>
      <t xml:space="preserve">Set </t>
    </r>
    <r>
      <rPr>
        <b/>
        <sz val="14"/>
        <color theme="1"/>
        <rFont val="Calibri"/>
        <family val="2"/>
        <scheme val="minor"/>
      </rPr>
      <t>Data</t>
    </r>
    <r>
      <rPr>
        <sz val="14"/>
        <color theme="1"/>
        <rFont val="Calibri"/>
        <family val="2"/>
        <scheme val="minor"/>
      </rPr>
      <t xml:space="preserve"> to </t>
    </r>
    <r>
      <rPr>
        <b/>
        <sz val="14"/>
        <color theme="1"/>
        <rFont val="Calibri"/>
        <family val="2"/>
        <scheme val="minor"/>
      </rPr>
      <t>Between</t>
    </r>
  </si>
  <si>
    <r>
      <t xml:space="preserve">Enter </t>
    </r>
    <r>
      <rPr>
        <b/>
        <sz val="14"/>
        <color theme="1"/>
        <rFont val="Calibri"/>
        <family val="2"/>
        <scheme val="minor"/>
      </rPr>
      <t>Minimum = 1</t>
    </r>
  </si>
  <si>
    <r>
      <t xml:space="preserve">Enter </t>
    </r>
    <r>
      <rPr>
        <b/>
        <sz val="14"/>
        <color theme="1"/>
        <rFont val="Calibri"/>
        <family val="2"/>
        <scheme val="minor"/>
      </rPr>
      <t>Maximum = 10</t>
    </r>
  </si>
  <si>
    <r>
      <t xml:space="preserve">5. Next, click on the </t>
    </r>
    <r>
      <rPr>
        <b/>
        <sz val="14"/>
        <color theme="1"/>
        <rFont val="Calibri"/>
        <family val="2"/>
        <scheme val="minor"/>
      </rPr>
      <t>Input Message</t>
    </r>
    <r>
      <rPr>
        <sz val="14"/>
        <color theme="1"/>
        <rFont val="Calibri"/>
        <family val="2"/>
        <scheme val="minor"/>
      </rPr>
      <t xml:space="preserve"> tab and type the following message:</t>
    </r>
  </si>
  <si>
    <r>
      <t xml:space="preserve">6. Then, click on the </t>
    </r>
    <r>
      <rPr>
        <b/>
        <sz val="14"/>
        <color theme="1"/>
        <rFont val="Calibri"/>
        <family val="2"/>
        <scheme val="minor"/>
      </rPr>
      <t>Error Alert</t>
    </r>
    <r>
      <rPr>
        <sz val="14"/>
        <color theme="1"/>
        <rFont val="Calibri"/>
        <family val="2"/>
        <scheme val="minor"/>
      </rPr>
      <t xml:space="preserve"> tab and enter the following error message:</t>
    </r>
  </si>
  <si>
    <r>
      <t xml:space="preserve">7. Finally, click </t>
    </r>
    <r>
      <rPr>
        <b/>
        <sz val="14"/>
        <color theme="1"/>
        <rFont val="Calibri"/>
        <family val="2"/>
        <scheme val="minor"/>
      </rPr>
      <t>OK</t>
    </r>
    <r>
      <rPr>
        <sz val="14"/>
        <color theme="1"/>
        <rFont val="Calibri"/>
        <family val="2"/>
        <scheme val="minor"/>
      </rPr>
      <t xml:space="preserve"> to apply the data validation rule to the Quantity column.</t>
    </r>
  </si>
  <si>
    <t>Result:</t>
  </si>
  <si>
    <t>An input message appears when the cell is selected.</t>
  </si>
  <si>
    <t>An error alert is shown if an invalid value is entered.</t>
  </si>
  <si>
    <r>
      <t xml:space="preserve">Users can enter only whole numbers between </t>
    </r>
    <r>
      <rPr>
        <b/>
        <sz val="12"/>
        <color theme="1"/>
        <rFont val="Calibri"/>
        <family val="2"/>
        <scheme val="minor"/>
      </rPr>
      <t>1 and 10</t>
    </r>
    <r>
      <rPr>
        <sz val="12"/>
        <color theme="1"/>
        <rFont val="Calibri"/>
        <family val="2"/>
        <scheme val="minor"/>
      </rPr>
      <t xml:space="preserve"> in the Quantity column.</t>
    </r>
  </si>
  <si>
    <t>- Extract the first 5 characters from the string "ExcelTipsAreGreat" using the LEFT function.</t>
  </si>
  <si>
    <t xml:space="preserve">Answer </t>
  </si>
  <si>
    <t xml:space="preserve">Q6  understand and apply fundamental text functions like LEFT, RIGHT, MID, and LEN.
</t>
  </si>
  <si>
    <t>- Extract the last 4 characters from "DataAnalysis.xlsx" using the RIGHT function.</t>
  </si>
  <si>
    <t>- Extract the substring "Tips" from "ExcelTipsAreGreat" using the MID function.</t>
  </si>
  <si>
    <t>- Count the total number of characters in the string "Hello World!" using the LEN function.</t>
  </si>
  <si>
    <t>-  Create a formula to extract the middle 6 characters from "12345-67890-ABCDE".</t>
  </si>
  <si>
    <t>Explanation:</t>
  </si>
  <si>
    <t>LEFT extracts characters from the start (left side) of the text.</t>
  </si>
  <si>
    <r>
      <t xml:space="preserve">RIGHT extracts characters from the </t>
    </r>
    <r>
      <rPr>
        <b/>
        <sz val="14"/>
        <color theme="1"/>
        <rFont val="Calibri"/>
        <family val="2"/>
        <scheme val="minor"/>
      </rPr>
      <t>end (right side)</t>
    </r>
    <r>
      <rPr>
        <sz val="14"/>
        <color theme="1"/>
        <rFont val="Calibri"/>
        <family val="2"/>
        <scheme val="minor"/>
      </rPr>
      <t xml:space="preserve"> of the text.</t>
    </r>
  </si>
  <si>
    <t>Start position = 6 (T of Tips)</t>
  </si>
  <si>
    <t>Number of characters = 4</t>
  </si>
  <si>
    <r>
      <t xml:space="preserve">LEN counts </t>
    </r>
    <r>
      <rPr>
        <b/>
        <sz val="11"/>
        <color theme="1"/>
        <rFont val="Calibri"/>
        <family val="2"/>
        <scheme val="minor"/>
      </rPr>
      <t>all characters</t>
    </r>
    <r>
      <rPr>
        <sz val="11"/>
        <color theme="1"/>
        <rFont val="Calibri"/>
        <family val="2"/>
        <scheme val="minor"/>
      </rPr>
      <t>, including spaces and special symbols.</t>
    </r>
  </si>
  <si>
    <t>Starting position = 7</t>
  </si>
  <si>
    <t>Characters to extract = 6</t>
  </si>
  <si>
    <t>Q7 .understand how to combine text using CONCAT, TEXTJOIN, and the &amp; operator.</t>
  </si>
  <si>
    <t>a.Use CONCAT to combine "Hello" and "World" with a space in between.</t>
  </si>
  <si>
    <t xml:space="preserve">b. Combine "Apple", "Banana", and "Cherry" into a single string separated by commas using TEXTJOIN.
</t>
  </si>
  <si>
    <t xml:space="preserve">Apple </t>
  </si>
  <si>
    <t>Banana</t>
  </si>
  <si>
    <t xml:space="preserve">Cherry </t>
  </si>
  <si>
    <t>c. Use the &amp; operator to create the string "2025: Excel Functions" by combining "2025", ": ", and "Excel
Functions".</t>
  </si>
  <si>
    <t>d.Create a comma-separated list from the range A1:A5 using TEXTJOIN</t>
  </si>
  <si>
    <t xml:space="preserve">Orange </t>
  </si>
  <si>
    <t xml:space="preserve">Mango </t>
  </si>
  <si>
    <t>e.Combine first names in column A with last names in column B to create full names in column C</t>
  </si>
  <si>
    <t>A (First Name)</t>
  </si>
  <si>
    <t>B (Last Name)</t>
  </si>
  <si>
    <t>Jane</t>
  </si>
  <si>
    <t>Smith</t>
  </si>
  <si>
    <t>Alex</t>
  </si>
  <si>
    <t>Moore</t>
  </si>
  <si>
    <t xml:space="preserve">C(Full Name) </t>
  </si>
  <si>
    <t>Q8. Understanding TODAY() and NOW()</t>
  </si>
  <si>
    <t>a.What is the difference between TODAY() and NOW() in Excel? Provide an example of when you would use
 each function.</t>
  </si>
  <si>
    <t>Returns</t>
  </si>
  <si>
    <t>Example Use</t>
  </si>
  <si>
    <t>TODAY()</t>
  </si>
  <si>
    <r>
      <t xml:space="preserve">Current </t>
    </r>
    <r>
      <rPr>
        <b/>
        <sz val="11"/>
        <color theme="1"/>
        <rFont val="Calibri"/>
        <family val="2"/>
        <scheme val="minor"/>
      </rPr>
      <t>date only</t>
    </r>
  </si>
  <si>
    <t>Attendance date, invoice date</t>
  </si>
  <si>
    <t>NOW()</t>
  </si>
  <si>
    <r>
      <t xml:space="preserve">Current </t>
    </r>
    <r>
      <rPr>
        <b/>
        <sz val="11"/>
        <color theme="1"/>
        <rFont val="Calibri"/>
        <family val="2"/>
        <scheme val="minor"/>
      </rPr>
      <t>date and time</t>
    </r>
  </si>
  <si>
    <t>Login time, timestamp</t>
  </si>
  <si>
    <t>Function</t>
  </si>
  <si>
    <t>Example:</t>
  </si>
  <si>
    <t>=TODAY()   → 08-01-2026</t>
  </si>
  <si>
    <t>=NOW()     → 08-01-2026 11:30 AM</t>
  </si>
  <si>
    <t>b.  If cell A1 contains the date 2025-06-10, write a formula using TODAY() to determine how many days are
 left until that date</t>
  </si>
  <si>
    <t>=A1 - TODAY() → 2025-06-10 - 2025-06-01 → 9 days left</t>
  </si>
  <si>
    <t xml:space="preserve">c. Write an Excel formula using NOW() to display the current date and time in the format MM/DD/YYYY
 HH:MM AM/PM. ́
</t>
  </si>
  <si>
    <t>d. If a cell contains =TODAY(), what will happen when the worksheet is reopened the next day? Explain</t>
  </si>
  <si>
    <r>
      <t xml:space="preserve">If you reopen the workbook tomorrow (January 7, 2026), the same cell will now </t>
    </r>
    <r>
      <rPr>
        <b/>
        <sz val="11"/>
        <color theme="1"/>
        <rFont val="Calibri"/>
        <family val="2"/>
        <scheme val="minor"/>
      </rPr>
      <t xml:space="preserve">show </t>
    </r>
    <r>
      <rPr>
        <b/>
        <sz val="10"/>
        <color theme="1"/>
        <rFont val="Arial Unicode MS"/>
        <family val="2"/>
      </rPr>
      <t>01/07/2026</t>
    </r>
    <r>
      <rPr>
        <sz val="11"/>
        <color theme="1"/>
        <rFont val="Calibri"/>
        <family val="2"/>
        <scheme val="minor"/>
      </rPr>
      <t>.</t>
    </r>
  </si>
  <si>
    <t xml:space="preserve"> - </t>
  </si>
  <si>
    <t xml:space="preserve"> -  </t>
  </si>
  <si>
    <r>
      <t xml:space="preserve">The </t>
    </r>
    <r>
      <rPr>
        <sz val="10"/>
        <color theme="1"/>
        <rFont val="Arial Unicode MS"/>
        <family val="2"/>
      </rPr>
      <t>=</t>
    </r>
    <r>
      <rPr>
        <sz val="14"/>
        <color theme="1"/>
        <rFont val="Arial Unicode MS"/>
        <family val="2"/>
      </rPr>
      <t>TODAY()</t>
    </r>
    <r>
      <rPr>
        <sz val="14"/>
        <color theme="1"/>
        <rFont val="Calibri"/>
        <family val="2"/>
        <scheme val="minor"/>
      </rPr>
      <t xml:space="preserve"> function </t>
    </r>
    <r>
      <rPr>
        <b/>
        <sz val="14"/>
        <color theme="1"/>
        <rFont val="Calibri"/>
        <family val="2"/>
        <scheme val="minor"/>
      </rPr>
      <t>always returns the current date</t>
    </r>
    <r>
      <rPr>
        <sz val="14"/>
        <color theme="1"/>
        <rFont val="Calibri"/>
        <family val="2"/>
        <scheme val="minor"/>
      </rPr>
      <t xml:space="preserve"> according to your system's clock.</t>
    </r>
  </si>
  <si>
    <r>
      <t xml:space="preserve">It </t>
    </r>
    <r>
      <rPr>
        <b/>
        <sz val="14"/>
        <color theme="1"/>
        <rFont val="Calibri"/>
        <family val="2"/>
        <scheme val="minor"/>
      </rPr>
      <t>updates automatically</t>
    </r>
    <r>
      <rPr>
        <sz val="14"/>
        <color theme="1"/>
        <rFont val="Calibri"/>
        <family val="2"/>
        <scheme val="minor"/>
      </rPr>
      <t xml:space="preserve"> whenever the workbook recalculates or is reopened.</t>
    </r>
  </si>
  <si>
    <r>
      <t xml:space="preserve">So, if today is </t>
    </r>
    <r>
      <rPr>
        <b/>
        <sz val="12"/>
        <color theme="1"/>
        <rFont val="Calibri"/>
        <family val="2"/>
        <scheme val="minor"/>
      </rPr>
      <t>January 6, 2026</t>
    </r>
    <r>
      <rPr>
        <sz val="12"/>
        <color theme="1"/>
        <rFont val="Calibri"/>
        <family val="2"/>
        <scheme val="minor"/>
      </rPr>
      <t xml:space="preserve">, </t>
    </r>
    <r>
      <rPr>
        <sz val="12"/>
        <color theme="1"/>
        <rFont val="Arial Unicode MS"/>
        <family val="2"/>
      </rPr>
      <t>=TODAY()</t>
    </r>
    <r>
      <rPr>
        <sz val="12"/>
        <color theme="1"/>
        <rFont val="Calibri"/>
        <family val="2"/>
        <scheme val="minor"/>
      </rPr>
      <t xml:space="preserve"> will show </t>
    </r>
    <r>
      <rPr>
        <sz val="12"/>
        <color theme="1"/>
        <rFont val="Arial Unicode MS"/>
        <family val="2"/>
      </rPr>
      <t>01/06/2026</t>
    </r>
    <r>
      <rPr>
        <sz val="12"/>
        <color theme="1"/>
        <rFont val="Calibri"/>
        <family val="2"/>
        <scheme val="minor"/>
      </rPr>
      <t>.</t>
    </r>
  </si>
  <si>
    <t>e. You want to store a static date (today’s date) in a cell without it changing every day. What keyboard shortcut should you use?
 shortcut</t>
  </si>
  <si>
    <t>Ctrl + Shift + ;  (Control + Shift + semicolon)</t>
  </si>
  <si>
    <t xml:space="preserve"> -  This inserts the current time in the selected cell.</t>
  </si>
  <si>
    <t xml:space="preserve"> -  Like the static date shortcut (Ctrl + ;), the time will not change when the worksheet is reopened.
💡 Tip:</t>
  </si>
  <si>
    <t>Date Cleaning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</si>
</sst>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4"/>
      <color theme="1"/>
      <name val="Calibri"/>
      <family val="2"/>
      <scheme val="minor"/>
    </font>
    <font>
      <b/>
      <sz val="16"/>
      <color theme="1"/>
      <name val="Calibri"/>
      <family val="2"/>
      <scheme val="minor"/>
    </font>
    <font>
      <sz val="14"/>
      <color theme="1"/>
      <name val="Calibri"/>
      <family val="2"/>
      <scheme val="minor"/>
    </font>
    <font>
      <b/>
      <sz val="18"/>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18"/>
      <color theme="1"/>
      <name val="Calibri"/>
      <family val="2"/>
      <scheme val="minor"/>
    </font>
    <font>
      <b/>
      <sz val="24"/>
      <color theme="1"/>
      <name val="Calibri"/>
      <family val="2"/>
      <scheme val="minor"/>
    </font>
    <font>
      <b/>
      <sz val="11"/>
      <color theme="1"/>
      <name val="Calibri"/>
      <family val="2"/>
      <scheme val="minor"/>
    </font>
    <font>
      <sz val="10"/>
      <color theme="1"/>
      <name val="Arial Unicode MS"/>
      <family val="2"/>
    </font>
    <font>
      <b/>
      <sz val="10"/>
      <color theme="1"/>
      <name val="Arial Unicode MS"/>
      <family val="2"/>
    </font>
    <font>
      <sz val="12"/>
      <color theme="1"/>
      <name val="Arial Unicode MS"/>
      <family val="2"/>
    </font>
    <font>
      <sz val="14"/>
      <color theme="1"/>
      <name val="Arial Unicode MS"/>
      <family val="2"/>
    </font>
    <font>
      <b/>
      <sz val="48"/>
      <color theme="1"/>
      <name val="Algerian"/>
      <family val="5"/>
    </font>
  </fonts>
  <fills count="3">
    <fill>
      <patternFill patternType="none"/>
    </fill>
    <fill>
      <patternFill patternType="gray125"/>
    </fill>
    <fill>
      <patternFill patternType="solid">
        <fgColor theme="8" tint="0.3999755851924192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92">
    <xf numFmtId="0" fontId="0" fillId="0" borderId="0" xfId="0"/>
    <xf numFmtId="0" fontId="2" fillId="0" borderId="0" xfId="0" applyFont="1"/>
    <xf numFmtId="0" fontId="4" fillId="0" borderId="0" xfId="0" applyFont="1" applyAlignment="1">
      <alignment vertical="center"/>
    </xf>
    <xf numFmtId="0" fontId="3" fillId="0" borderId="0" xfId="0" applyFont="1" applyAlignment="1">
      <alignment horizontal="left"/>
    </xf>
    <xf numFmtId="0" fontId="5"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0" xfId="0" applyFont="1"/>
    <xf numFmtId="0" fontId="0" fillId="0" borderId="9" xfId="0" applyBorder="1"/>
    <xf numFmtId="0" fontId="1" fillId="0" borderId="10" xfId="0" applyFont="1" applyBorder="1"/>
    <xf numFmtId="0" fontId="3" fillId="0" borderId="11" xfId="0" applyFont="1" applyBorder="1"/>
    <xf numFmtId="0" fontId="3" fillId="0" borderId="6" xfId="0" applyFont="1" applyBorder="1"/>
    <xf numFmtId="0" fontId="3" fillId="0" borderId="12" xfId="0" applyFont="1" applyBorder="1"/>
    <xf numFmtId="0" fontId="3" fillId="0" borderId="13" xfId="0" applyFont="1" applyBorder="1"/>
    <xf numFmtId="0" fontId="3" fillId="0" borderId="9" xfId="0" applyFont="1" applyBorder="1"/>
    <xf numFmtId="0" fontId="5" fillId="0" borderId="0" xfId="0" applyFont="1" applyAlignment="1">
      <alignment horizontal="right"/>
    </xf>
    <xf numFmtId="0" fontId="3" fillId="0" borderId="14" xfId="0" applyFont="1" applyBorder="1"/>
    <xf numFmtId="0" fontId="3" fillId="0" borderId="5" xfId="0" applyFont="1" applyBorder="1"/>
    <xf numFmtId="0" fontId="3" fillId="0" borderId="7" xfId="0" applyFont="1" applyBorder="1"/>
    <xf numFmtId="0" fontId="3" fillId="0" borderId="15" xfId="0" applyFont="1" applyBorder="1"/>
    <xf numFmtId="0" fontId="0" fillId="0" borderId="14" xfId="0" applyBorder="1"/>
    <xf numFmtId="0" fontId="1" fillId="0" borderId="0" xfId="0" applyFont="1" applyAlignment="1">
      <alignment horizontal="left"/>
    </xf>
    <xf numFmtId="0" fontId="3" fillId="0" borderId="16" xfId="0" applyFont="1" applyBorder="1"/>
    <xf numFmtId="0" fontId="3" fillId="0" borderId="17" xfId="0" applyFont="1" applyBorder="1"/>
    <xf numFmtId="0" fontId="0" fillId="0" borderId="18" xfId="0" applyBorder="1"/>
    <xf numFmtId="0" fontId="7" fillId="0" borderId="0" xfId="0" applyFont="1" applyAlignment="1">
      <alignment vertical="top" wrapText="1"/>
    </xf>
    <xf numFmtId="0" fontId="1" fillId="0" borderId="21" xfId="0" applyFont="1" applyBorder="1"/>
    <xf numFmtId="0" fontId="1" fillId="0" borderId="28" xfId="0" applyFont="1" applyBorder="1"/>
    <xf numFmtId="0" fontId="1" fillId="0" borderId="22" xfId="0" applyFont="1" applyBorder="1"/>
    <xf numFmtId="0" fontId="1" fillId="0" borderId="23" xfId="0" applyFont="1" applyBorder="1"/>
    <xf numFmtId="0" fontId="3" fillId="0" borderId="24" xfId="0" applyFont="1" applyBorder="1"/>
    <xf numFmtId="0" fontId="3" fillId="0" borderId="1" xfId="0" applyFont="1" applyBorder="1"/>
    <xf numFmtId="0" fontId="3" fillId="0" borderId="26" xfId="0" applyFont="1" applyBorder="1"/>
    <xf numFmtId="0" fontId="3" fillId="0" borderId="20" xfId="0" applyFont="1" applyBorder="1"/>
    <xf numFmtId="0" fontId="3" fillId="0" borderId="25" xfId="0" applyFont="1" applyBorder="1"/>
    <xf numFmtId="0" fontId="3" fillId="0" borderId="27" xfId="0" applyFont="1" applyBorder="1"/>
    <xf numFmtId="0" fontId="1" fillId="0" borderId="0" xfId="0" applyFont="1" applyAlignment="1">
      <alignment vertical="center"/>
    </xf>
    <xf numFmtId="0" fontId="3" fillId="0" borderId="0" xfId="0" applyFont="1" applyAlignment="1">
      <alignment horizontal="left" vertical="center" indent="1"/>
    </xf>
    <xf numFmtId="0" fontId="3" fillId="0" borderId="0" xfId="0" applyFont="1" applyAlignment="1">
      <alignment horizontal="left" vertical="center" indent="2"/>
    </xf>
    <xf numFmtId="0" fontId="1" fillId="0" borderId="0" xfId="0" applyFont="1" applyAlignment="1">
      <alignment horizontal="left" vertical="center" indent="2"/>
    </xf>
    <xf numFmtId="0" fontId="7" fillId="0" borderId="0" xfId="0" applyFont="1" applyAlignment="1">
      <alignment horizontal="left" vertical="center" indent="1"/>
    </xf>
    <xf numFmtId="0" fontId="1"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10" fillId="0" borderId="0" xfId="0" applyFont="1"/>
    <xf numFmtId="0" fontId="6" fillId="0" borderId="0" xfId="0" applyFont="1"/>
    <xf numFmtId="0" fontId="1" fillId="0" borderId="0" xfId="0" applyFont="1"/>
    <xf numFmtId="0" fontId="3" fillId="0" borderId="0" xfId="0" applyFont="1"/>
    <xf numFmtId="0" fontId="0" fillId="0" borderId="0" xfId="0" applyAlignment="1">
      <alignment horizontal="left" vertical="center" indent="1"/>
    </xf>
    <xf numFmtId="0" fontId="6" fillId="0" borderId="0" xfId="0" applyFont="1" applyAlignment="1">
      <alignment horizontal="left" vertical="top" wrapText="1"/>
    </xf>
    <xf numFmtId="0" fontId="10"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xf numFmtId="0" fontId="10" fillId="0" borderId="1" xfId="0" applyFont="1" applyBorder="1" applyAlignment="1">
      <alignment horizontal="center" vertical="center"/>
    </xf>
    <xf numFmtId="0" fontId="11" fillId="0" borderId="1" xfId="0" applyFont="1" applyBorder="1" applyAlignment="1">
      <alignment vertical="center" wrapText="1"/>
    </xf>
    <xf numFmtId="0" fontId="0" fillId="0" borderId="1" xfId="0" applyBorder="1" applyAlignment="1">
      <alignment vertical="center"/>
    </xf>
    <xf numFmtId="0" fontId="2" fillId="0" borderId="0" xfId="0" applyFont="1" applyAlignment="1">
      <alignment horizontal="right"/>
    </xf>
    <xf numFmtId="20" fontId="0" fillId="0" borderId="0" xfId="0" applyNumberFormat="1"/>
    <xf numFmtId="0" fontId="3" fillId="0" borderId="0" xfId="0" applyFont="1" applyAlignment="1">
      <alignment horizontal="left"/>
    </xf>
    <xf numFmtId="0" fontId="3" fillId="0" borderId="0" xfId="0" applyFont="1" applyAlignment="1">
      <alignment horizontal="left" vertical="top" wrapText="1"/>
    </xf>
    <xf numFmtId="0" fontId="1" fillId="0" borderId="0" xfId="0" applyFont="1" applyAlignment="1">
      <alignment horizontal="left" wrapText="1"/>
    </xf>
    <xf numFmtId="0" fontId="2" fillId="0" borderId="0" xfId="0" applyFont="1" applyAlignment="1">
      <alignment horizontal="center"/>
    </xf>
    <xf numFmtId="0" fontId="1" fillId="0" borderId="0" xfId="0" applyFont="1" applyAlignment="1">
      <alignment horizontal="left"/>
    </xf>
    <xf numFmtId="0" fontId="4" fillId="0" borderId="0" xfId="0" applyFont="1" applyAlignment="1">
      <alignment horizontal="center"/>
    </xf>
    <xf numFmtId="0" fontId="8" fillId="0" borderId="0" xfId="0" applyFont="1" applyAlignment="1">
      <alignment horizontal="left" vertical="top" wrapText="1"/>
    </xf>
    <xf numFmtId="0" fontId="9" fillId="0" borderId="19" xfId="0" applyFont="1" applyBorder="1" applyAlignment="1">
      <alignment horizontal="center"/>
    </xf>
    <xf numFmtId="0" fontId="9" fillId="0" borderId="0" xfId="0" applyFont="1" applyAlignment="1">
      <alignment horizontal="center"/>
    </xf>
    <xf numFmtId="0" fontId="1" fillId="0" borderId="19" xfId="0" applyFont="1" applyBorder="1" applyAlignment="1">
      <alignment horizontal="left" vertical="top" wrapText="1"/>
    </xf>
    <xf numFmtId="0" fontId="1" fillId="0" borderId="0" xfId="0" applyFont="1" applyAlignment="1">
      <alignment horizontal="left" vertical="top" wrapText="1"/>
    </xf>
    <xf numFmtId="0" fontId="2" fillId="0" borderId="1" xfId="0" applyFont="1" applyBorder="1" applyAlignment="1">
      <alignment horizontal="left"/>
    </xf>
    <xf numFmtId="0" fontId="2" fillId="0" borderId="0" xfId="0" applyFont="1" applyAlignment="1">
      <alignment horizontal="left" vertical="top" wrapText="1"/>
    </xf>
    <xf numFmtId="0" fontId="3" fillId="0" borderId="0" xfId="0" applyFont="1" applyAlignment="1">
      <alignment horizontal="left" vertical="top"/>
    </xf>
    <xf numFmtId="0" fontId="6" fillId="0" borderId="0" xfId="0" applyFont="1" applyAlignment="1">
      <alignment horizontal="center" vertical="top" wrapText="1"/>
    </xf>
    <xf numFmtId="0" fontId="3" fillId="0" borderId="0" xfId="0" applyFont="1" applyAlignment="1">
      <alignment horizontal="left" wrapText="1"/>
    </xf>
    <xf numFmtId="0" fontId="7" fillId="0" borderId="0" xfId="0" applyFont="1" applyAlignment="1">
      <alignment horizontal="left" wrapText="1"/>
    </xf>
    <xf numFmtId="0" fontId="7" fillId="0" borderId="0" xfId="0" applyFont="1" applyAlignment="1">
      <alignment horizontal="left"/>
    </xf>
    <xf numFmtId="0" fontId="2" fillId="0" borderId="0" xfId="0" applyFont="1" applyAlignment="1">
      <alignment horizontal="left"/>
    </xf>
    <xf numFmtId="0" fontId="15" fillId="2" borderId="29" xfId="0" applyFont="1" applyFill="1" applyBorder="1" applyAlignment="1">
      <alignment horizontal="center" vertical="center"/>
    </xf>
    <xf numFmtId="0" fontId="15" fillId="2" borderId="30" xfId="0" applyFont="1" applyFill="1" applyBorder="1" applyAlignment="1">
      <alignment horizontal="center" vertical="center"/>
    </xf>
    <xf numFmtId="0" fontId="15" fillId="2" borderId="31"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0" xfId="0" applyFont="1" applyFill="1" applyBorder="1" applyAlignment="1">
      <alignment horizontal="center" vertical="center"/>
    </xf>
    <xf numFmtId="0" fontId="15" fillId="2" borderId="32" xfId="0" applyFont="1" applyFill="1" applyBorder="1" applyAlignment="1">
      <alignment horizontal="center" vertical="center"/>
    </xf>
    <xf numFmtId="0" fontId="15" fillId="2" borderId="33" xfId="0" applyFont="1" applyFill="1" applyBorder="1" applyAlignment="1">
      <alignment horizontal="center" vertical="center"/>
    </xf>
    <xf numFmtId="0" fontId="15" fillId="2" borderId="34" xfId="0" applyFont="1" applyFill="1" applyBorder="1" applyAlignment="1">
      <alignment horizontal="center" vertical="center"/>
    </xf>
    <xf numFmtId="0" fontId="15" fillId="2" borderId="18"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451485</xdr:colOff>
      <xdr:row>0</xdr:row>
      <xdr:rowOff>0</xdr:rowOff>
    </xdr:from>
    <xdr:to>
      <xdr:col>16</xdr:col>
      <xdr:colOff>586740</xdr:colOff>
      <xdr:row>20</xdr:row>
      <xdr:rowOff>45941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89885" y="0"/>
          <a:ext cx="7450455" cy="370354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21:S35"/>
  <sheetViews>
    <sheetView workbookViewId="0">
      <selection activeCell="S14" sqref="S14"/>
    </sheetView>
  </sheetViews>
  <sheetFormatPr defaultRowHeight="14.4"/>
  <sheetData>
    <row r="21" spans="5:19" ht="15" thickBot="1"/>
    <row r="22" spans="5:19">
      <c r="E22" s="83" t="s">
        <v>167</v>
      </c>
      <c r="F22" s="84"/>
      <c r="G22" s="84"/>
      <c r="H22" s="84"/>
      <c r="I22" s="84"/>
      <c r="J22" s="84"/>
      <c r="K22" s="84"/>
      <c r="L22" s="84"/>
      <c r="M22" s="84"/>
      <c r="N22" s="84"/>
      <c r="O22" s="84"/>
      <c r="P22" s="84"/>
      <c r="Q22" s="84"/>
      <c r="R22" s="84"/>
      <c r="S22" s="85"/>
    </row>
    <row r="23" spans="5:19">
      <c r="E23" s="86"/>
      <c r="F23" s="87"/>
      <c r="G23" s="87"/>
      <c r="H23" s="87"/>
      <c r="I23" s="87"/>
      <c r="J23" s="87"/>
      <c r="K23" s="87"/>
      <c r="L23" s="87"/>
      <c r="M23" s="87"/>
      <c r="N23" s="87"/>
      <c r="O23" s="87"/>
      <c r="P23" s="87"/>
      <c r="Q23" s="87"/>
      <c r="R23" s="87"/>
      <c r="S23" s="88"/>
    </row>
    <row r="24" spans="5:19">
      <c r="E24" s="86"/>
      <c r="F24" s="87"/>
      <c r="G24" s="87"/>
      <c r="H24" s="87"/>
      <c r="I24" s="87"/>
      <c r="J24" s="87"/>
      <c r="K24" s="87"/>
      <c r="L24" s="87"/>
      <c r="M24" s="87"/>
      <c r="N24" s="87"/>
      <c r="O24" s="87"/>
      <c r="P24" s="87"/>
      <c r="Q24" s="87"/>
      <c r="R24" s="87"/>
      <c r="S24" s="88"/>
    </row>
    <row r="25" spans="5:19" ht="15" thickBot="1">
      <c r="E25" s="89"/>
      <c r="F25" s="90"/>
      <c r="G25" s="90"/>
      <c r="H25" s="90"/>
      <c r="I25" s="90"/>
      <c r="J25" s="90"/>
      <c r="K25" s="90"/>
      <c r="L25" s="90"/>
      <c r="M25" s="90"/>
      <c r="N25" s="90"/>
      <c r="O25" s="90"/>
      <c r="P25" s="90"/>
      <c r="Q25" s="90"/>
      <c r="R25" s="90"/>
      <c r="S25" s="91"/>
    </row>
    <row r="32" spans="5:19" ht="14.4" customHeight="1"/>
    <row r="33" ht="14.4" customHeight="1"/>
    <row r="34" ht="14.4" customHeight="1"/>
    <row r="35" ht="14.4" customHeight="1"/>
  </sheetData>
  <mergeCells count="1">
    <mergeCell ref="E22:S25"/>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2"/>
  <sheetViews>
    <sheetView topLeftCell="A7" workbookViewId="0">
      <selection activeCell="A9" sqref="A9"/>
    </sheetView>
  </sheetViews>
  <sheetFormatPr defaultRowHeight="14.4"/>
  <cols>
    <col min="1" max="1" width="13.33203125" bestFit="1" customWidth="1"/>
  </cols>
  <sheetData>
    <row r="1" spans="1:16" ht="21">
      <c r="A1" s="1" t="s">
        <v>2</v>
      </c>
    </row>
    <row r="2" spans="1:16" ht="21">
      <c r="A2" s="1" t="s">
        <v>3</v>
      </c>
    </row>
    <row r="3" spans="1:16" ht="14.4" customHeight="1">
      <c r="A3" s="65" t="s">
        <v>4</v>
      </c>
      <c r="B3" s="65"/>
      <c r="C3" s="65"/>
      <c r="D3" s="65"/>
      <c r="E3" s="65"/>
      <c r="F3" s="65"/>
      <c r="G3" s="65"/>
      <c r="H3" s="65"/>
      <c r="I3" s="65"/>
      <c r="J3" s="65"/>
      <c r="K3" s="65"/>
      <c r="L3" s="65"/>
      <c r="M3" s="65"/>
      <c r="N3" s="65"/>
      <c r="O3" s="65"/>
      <c r="P3" s="65"/>
    </row>
    <row r="4" spans="1:16" ht="14.4" customHeight="1">
      <c r="A4" s="65"/>
      <c r="B4" s="65"/>
      <c r="C4" s="65"/>
      <c r="D4" s="65"/>
      <c r="E4" s="65"/>
      <c r="F4" s="65"/>
      <c r="G4" s="65"/>
      <c r="H4" s="65"/>
      <c r="I4" s="65"/>
      <c r="J4" s="65"/>
      <c r="K4" s="65"/>
      <c r="L4" s="65"/>
      <c r="M4" s="65"/>
      <c r="N4" s="65"/>
      <c r="O4" s="65"/>
      <c r="P4" s="65"/>
    </row>
    <row r="5" spans="1:16" ht="14.4" customHeight="1">
      <c r="A5" s="65"/>
      <c r="B5" s="65"/>
      <c r="C5" s="65"/>
      <c r="D5" s="65"/>
      <c r="E5" s="65"/>
      <c r="F5" s="65"/>
      <c r="G5" s="65"/>
      <c r="H5" s="65"/>
      <c r="I5" s="65"/>
      <c r="J5" s="65"/>
      <c r="K5" s="65"/>
      <c r="L5" s="65"/>
      <c r="M5" s="65"/>
      <c r="N5" s="65"/>
      <c r="O5" s="65"/>
      <c r="P5" s="65"/>
    </row>
    <row r="6" spans="1:16">
      <c r="A6" s="65"/>
      <c r="B6" s="65"/>
      <c r="C6" s="65"/>
      <c r="D6" s="65"/>
      <c r="E6" s="65"/>
      <c r="F6" s="65"/>
      <c r="G6" s="65"/>
      <c r="H6" s="65"/>
      <c r="I6" s="65"/>
      <c r="J6" s="65"/>
      <c r="K6" s="65"/>
      <c r="L6" s="65"/>
      <c r="M6" s="65"/>
      <c r="N6" s="65"/>
      <c r="O6" s="65"/>
      <c r="P6" s="65"/>
    </row>
    <row r="8" spans="1:16" ht="21">
      <c r="A8" s="1" t="s">
        <v>13</v>
      </c>
    </row>
    <row r="9" spans="1:16" ht="21">
      <c r="A9" s="1" t="s">
        <v>3</v>
      </c>
    </row>
    <row r="10" spans="1:16">
      <c r="A10" s="65" t="s">
        <v>5</v>
      </c>
      <c r="B10" s="65"/>
      <c r="C10" s="65"/>
      <c r="D10" s="65"/>
      <c r="E10" s="65"/>
      <c r="F10" s="65"/>
      <c r="G10" s="65"/>
      <c r="H10" s="65"/>
      <c r="I10" s="65"/>
      <c r="J10" s="65"/>
      <c r="K10" s="65"/>
      <c r="L10" s="65"/>
      <c r="M10" s="65"/>
      <c r="N10" s="65"/>
      <c r="O10" s="65"/>
      <c r="P10" s="65"/>
    </row>
    <row r="11" spans="1:16">
      <c r="A11" s="65"/>
      <c r="B11" s="65"/>
      <c r="C11" s="65"/>
      <c r="D11" s="65"/>
      <c r="E11" s="65"/>
      <c r="F11" s="65"/>
      <c r="G11" s="65"/>
      <c r="H11" s="65"/>
      <c r="I11" s="65"/>
      <c r="J11" s="65"/>
      <c r="K11" s="65"/>
      <c r="L11" s="65"/>
      <c r="M11" s="65"/>
      <c r="N11" s="65"/>
      <c r="O11" s="65"/>
      <c r="P11" s="65"/>
    </row>
    <row r="12" spans="1:16">
      <c r="A12" s="65"/>
      <c r="B12" s="65"/>
      <c r="C12" s="65"/>
      <c r="D12" s="65"/>
      <c r="E12" s="65"/>
      <c r="F12" s="65"/>
      <c r="G12" s="65"/>
      <c r="H12" s="65"/>
      <c r="I12" s="65"/>
      <c r="J12" s="65"/>
      <c r="K12" s="65"/>
      <c r="L12" s="65"/>
      <c r="M12" s="65"/>
      <c r="N12" s="65"/>
      <c r="O12" s="65"/>
      <c r="P12" s="65"/>
    </row>
    <row r="13" spans="1:16">
      <c r="A13" s="65"/>
      <c r="B13" s="65"/>
      <c r="C13" s="65"/>
      <c r="D13" s="65"/>
      <c r="E13" s="65"/>
      <c r="F13" s="65"/>
      <c r="G13" s="65"/>
      <c r="H13" s="65"/>
      <c r="I13" s="65"/>
      <c r="J13" s="65"/>
      <c r="K13" s="65"/>
      <c r="L13" s="65"/>
      <c r="M13" s="65"/>
      <c r="N13" s="65"/>
      <c r="O13" s="65"/>
      <c r="P13" s="65"/>
    </row>
    <row r="15" spans="1:16" ht="23.4">
      <c r="A15" s="2" t="s">
        <v>12</v>
      </c>
    </row>
    <row r="16" spans="1:16" ht="21">
      <c r="A16" s="1" t="s">
        <v>3</v>
      </c>
    </row>
    <row r="17" spans="1:11" ht="14.4" customHeight="1">
      <c r="A17" s="64" t="s">
        <v>6</v>
      </c>
      <c r="B17" s="64"/>
      <c r="C17" s="64"/>
      <c r="D17" s="64"/>
      <c r="E17" s="64"/>
      <c r="F17" s="64"/>
      <c r="G17" s="64"/>
      <c r="H17" s="64"/>
      <c r="I17" s="64"/>
      <c r="J17" s="64"/>
      <c r="K17" s="64"/>
    </row>
    <row r="18" spans="1:11" ht="18">
      <c r="A18" s="64" t="s">
        <v>7</v>
      </c>
      <c r="B18" s="64"/>
      <c r="C18" s="64"/>
      <c r="D18" s="64"/>
      <c r="E18" s="64"/>
      <c r="F18" s="64"/>
      <c r="G18" s="64"/>
      <c r="H18" s="64"/>
      <c r="I18" s="64"/>
      <c r="J18" s="64"/>
      <c r="K18" s="64"/>
    </row>
    <row r="19" spans="1:11" ht="18">
      <c r="A19" s="64" t="s">
        <v>8</v>
      </c>
      <c r="B19" s="64"/>
      <c r="C19" s="64"/>
      <c r="D19" s="64"/>
      <c r="E19" s="64"/>
      <c r="F19" s="64"/>
      <c r="G19" s="64"/>
      <c r="H19" s="64"/>
      <c r="I19" s="64"/>
      <c r="J19" s="64"/>
      <c r="K19" s="64"/>
    </row>
    <row r="20" spans="1:11" ht="18">
      <c r="A20" s="64" t="s">
        <v>9</v>
      </c>
      <c r="B20" s="64"/>
      <c r="C20" s="64"/>
      <c r="D20" s="64"/>
      <c r="E20" s="64"/>
      <c r="F20" s="64"/>
      <c r="G20" s="64"/>
      <c r="H20" s="64"/>
      <c r="I20" s="64"/>
      <c r="J20" s="64"/>
      <c r="K20" s="64"/>
    </row>
    <row r="21" spans="1:11" ht="18">
      <c r="A21" s="64" t="s">
        <v>10</v>
      </c>
      <c r="B21" s="64"/>
      <c r="C21" s="64"/>
      <c r="D21" s="64"/>
      <c r="E21" s="64"/>
      <c r="F21" s="64"/>
      <c r="G21" s="64"/>
      <c r="H21" s="64"/>
      <c r="I21" s="64"/>
      <c r="J21" s="64"/>
      <c r="K21" s="64"/>
    </row>
    <row r="22" spans="1:11" ht="18">
      <c r="A22" s="64" t="s">
        <v>11</v>
      </c>
      <c r="B22" s="64"/>
      <c r="C22" s="64"/>
      <c r="D22" s="64"/>
      <c r="E22" s="64"/>
      <c r="F22" s="64"/>
      <c r="G22" s="64"/>
      <c r="H22" s="64"/>
      <c r="I22" s="64"/>
      <c r="J22" s="64"/>
      <c r="K22" s="64"/>
    </row>
  </sheetData>
  <mergeCells count="8">
    <mergeCell ref="A21:K21"/>
    <mergeCell ref="A22:K22"/>
    <mergeCell ref="A3:P6"/>
    <mergeCell ref="A10:P13"/>
    <mergeCell ref="A17:K17"/>
    <mergeCell ref="A18:K18"/>
    <mergeCell ref="A19:K19"/>
    <mergeCell ref="A20:K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9"/>
  <sheetViews>
    <sheetView workbookViewId="0">
      <selection sqref="A1:P2"/>
    </sheetView>
  </sheetViews>
  <sheetFormatPr defaultRowHeight="14.4"/>
  <cols>
    <col min="2" max="2" width="13.88671875" bestFit="1" customWidth="1"/>
    <col min="3" max="3" width="16.6640625" bestFit="1" customWidth="1"/>
    <col min="4" max="4" width="9.109375" bestFit="1" customWidth="1"/>
  </cols>
  <sheetData>
    <row r="1" spans="1:16" ht="18" customHeight="1">
      <c r="A1" s="66" t="s">
        <v>14</v>
      </c>
      <c r="B1" s="66"/>
      <c r="C1" s="66"/>
      <c r="D1" s="66"/>
      <c r="E1" s="66"/>
      <c r="F1" s="66"/>
      <c r="G1" s="66"/>
      <c r="H1" s="66"/>
      <c r="I1" s="66"/>
      <c r="J1" s="66"/>
      <c r="K1" s="66"/>
      <c r="L1" s="66"/>
      <c r="M1" s="66"/>
      <c r="N1" s="66"/>
      <c r="O1" s="66"/>
      <c r="P1" s="66"/>
    </row>
    <row r="2" spans="1:16">
      <c r="A2" s="66"/>
      <c r="B2" s="66"/>
      <c r="C2" s="66"/>
      <c r="D2" s="66"/>
      <c r="E2" s="66"/>
      <c r="F2" s="66"/>
      <c r="G2" s="66"/>
      <c r="H2" s="66"/>
      <c r="I2" s="66"/>
      <c r="J2" s="66"/>
      <c r="K2" s="66"/>
      <c r="L2" s="66"/>
      <c r="M2" s="66"/>
      <c r="N2" s="66"/>
      <c r="O2" s="66"/>
      <c r="P2" s="66"/>
    </row>
    <row r="3" spans="1:16" ht="15" thickBot="1"/>
    <row r="4" spans="1:16" ht="21">
      <c r="B4" s="5" t="s">
        <v>15</v>
      </c>
      <c r="C4" s="6" t="s">
        <v>16</v>
      </c>
      <c r="D4" s="7" t="s">
        <v>17</v>
      </c>
    </row>
    <row r="5" spans="1:16" ht="21">
      <c r="B5" s="8" t="s">
        <v>18</v>
      </c>
      <c r="C5" s="4" t="s">
        <v>21</v>
      </c>
      <c r="D5" s="9">
        <v>4000</v>
      </c>
    </row>
    <row r="6" spans="1:16" ht="21">
      <c r="B6" s="8" t="s">
        <v>19</v>
      </c>
      <c r="C6" s="4" t="s">
        <v>22</v>
      </c>
      <c r="D6" s="9">
        <v>5000</v>
      </c>
    </row>
    <row r="7" spans="1:16" ht="21.6" thickBot="1">
      <c r="B7" s="10" t="s">
        <v>20</v>
      </c>
      <c r="C7" s="11" t="s">
        <v>21</v>
      </c>
      <c r="D7" s="12">
        <v>2500</v>
      </c>
    </row>
    <row r="9" spans="1:16" ht="21">
      <c r="A9" s="13" t="s">
        <v>23</v>
      </c>
    </row>
    <row r="10" spans="1:16" ht="21">
      <c r="A10" s="13" t="s">
        <v>24</v>
      </c>
    </row>
    <row r="11" spans="1:16" ht="21">
      <c r="A11" s="13" t="s">
        <v>25</v>
      </c>
    </row>
    <row r="12" spans="1:16" ht="21">
      <c r="A12" s="13" t="s">
        <v>26</v>
      </c>
    </row>
    <row r="13" spans="1:16" ht="21">
      <c r="A13" s="13" t="s">
        <v>27</v>
      </c>
    </row>
    <row r="15" spans="1:16" ht="21.6" thickBot="1">
      <c r="A15" s="67" t="s">
        <v>28</v>
      </c>
      <c r="B15" s="67"/>
    </row>
    <row r="16" spans="1:16" ht="21">
      <c r="B16" s="5" t="s">
        <v>15</v>
      </c>
      <c r="C16" s="6" t="s">
        <v>16</v>
      </c>
      <c r="D16" s="7" t="s">
        <v>17</v>
      </c>
    </row>
    <row r="17" spans="2:4" ht="21">
      <c r="B17" s="8" t="s">
        <v>19</v>
      </c>
      <c r="C17" s="4" t="s">
        <v>22</v>
      </c>
      <c r="D17" s="9">
        <v>5000</v>
      </c>
    </row>
    <row r="18" spans="2:4" ht="21">
      <c r="B18" s="8" t="s">
        <v>18</v>
      </c>
      <c r="C18" s="4" t="s">
        <v>21</v>
      </c>
      <c r="D18" s="9">
        <v>4000</v>
      </c>
    </row>
    <row r="19" spans="2:4" ht="21.6" thickBot="1">
      <c r="B19" s="10" t="s">
        <v>20</v>
      </c>
      <c r="C19" s="11" t="s">
        <v>21</v>
      </c>
      <c r="D19" s="12">
        <v>2500</v>
      </c>
    </row>
  </sheetData>
  <sortState xmlns:xlrd2="http://schemas.microsoft.com/office/spreadsheetml/2017/richdata2" ref="B17:D19">
    <sortCondition ref="C17:C19"/>
    <sortCondition descending="1" ref="D17:D19"/>
  </sortState>
  <mergeCells count="2">
    <mergeCell ref="A1:P2"/>
    <mergeCell ref="A15: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7"/>
  <sheetViews>
    <sheetView topLeftCell="A64" workbookViewId="0">
      <selection activeCell="F80" sqref="F80"/>
    </sheetView>
  </sheetViews>
  <sheetFormatPr defaultRowHeight="14.4"/>
  <cols>
    <col min="1" max="1" width="14.44140625" bestFit="1" customWidth="1"/>
    <col min="2" max="2" width="22" bestFit="1" customWidth="1"/>
    <col min="3" max="3" width="17.33203125" bestFit="1" customWidth="1"/>
    <col min="4" max="4" width="13.33203125" bestFit="1" customWidth="1"/>
    <col min="5" max="5" width="12.6640625" bestFit="1" customWidth="1"/>
    <col min="6" max="6" width="16.6640625" bestFit="1" customWidth="1"/>
  </cols>
  <sheetData>
    <row r="1" spans="1:12" ht="18">
      <c r="A1" s="68" t="s">
        <v>29</v>
      </c>
      <c r="B1" s="68"/>
      <c r="C1" s="68"/>
      <c r="D1" s="68"/>
      <c r="E1" s="68"/>
      <c r="F1" s="68"/>
      <c r="G1" s="68"/>
      <c r="H1" s="68"/>
      <c r="I1" s="68"/>
      <c r="J1" s="68"/>
      <c r="K1" s="68"/>
      <c r="L1" s="68"/>
    </row>
    <row r="2" spans="1:12" ht="21">
      <c r="A2" s="1" t="s">
        <v>30</v>
      </c>
      <c r="B2" s="13"/>
      <c r="C2" s="13"/>
      <c r="D2" s="13"/>
      <c r="E2" s="13"/>
      <c r="F2" s="13"/>
      <c r="G2" s="13"/>
      <c r="H2" s="13"/>
      <c r="I2" s="13"/>
      <c r="J2" s="13"/>
      <c r="K2" s="13"/>
      <c r="L2" s="13"/>
    </row>
    <row r="3" spans="1:12" ht="18">
      <c r="A3" s="64" t="s">
        <v>31</v>
      </c>
      <c r="B3" s="64"/>
      <c r="C3" s="64"/>
      <c r="D3" s="64"/>
      <c r="E3" s="64"/>
      <c r="F3" s="64"/>
      <c r="G3" s="64"/>
      <c r="H3" s="64"/>
      <c r="I3" s="64"/>
      <c r="J3" s="64"/>
      <c r="K3" s="64"/>
      <c r="L3" s="64"/>
    </row>
    <row r="4" spans="1:12" ht="21">
      <c r="A4" s="1" t="s">
        <v>32</v>
      </c>
      <c r="B4" s="13"/>
      <c r="C4" s="13"/>
      <c r="D4" s="13"/>
      <c r="E4" s="13"/>
      <c r="F4" s="13"/>
      <c r="G4" s="13"/>
      <c r="H4" s="13"/>
      <c r="I4" s="13"/>
      <c r="J4" s="13"/>
      <c r="K4" s="13"/>
      <c r="L4" s="13"/>
    </row>
    <row r="5" spans="1:12" ht="21">
      <c r="A5" s="21" t="s">
        <v>34</v>
      </c>
      <c r="B5" s="64" t="s">
        <v>33</v>
      </c>
      <c r="C5" s="64"/>
      <c r="D5" s="64"/>
      <c r="E5" s="64"/>
      <c r="F5" s="64"/>
      <c r="G5" s="64"/>
      <c r="H5" s="64"/>
      <c r="I5" s="13"/>
      <c r="J5" s="13"/>
      <c r="K5" s="13"/>
      <c r="L5" s="13"/>
    </row>
    <row r="6" spans="1:12" ht="21.6" thickBot="1">
      <c r="A6" s="1" t="s">
        <v>49</v>
      </c>
      <c r="B6" s="13"/>
      <c r="C6" s="13"/>
      <c r="D6" s="13"/>
      <c r="E6" s="13"/>
      <c r="F6" s="13"/>
      <c r="G6" s="13"/>
      <c r="H6" s="13"/>
      <c r="I6" s="13"/>
      <c r="J6" s="13"/>
      <c r="K6" s="13"/>
      <c r="L6" s="13"/>
    </row>
    <row r="7" spans="1:12" ht="18.600000000000001" thickBot="1">
      <c r="B7" s="15" t="s">
        <v>35</v>
      </c>
      <c r="C7" s="15" t="s">
        <v>45</v>
      </c>
    </row>
    <row r="8" spans="1:12" ht="18">
      <c r="B8" s="16" t="s">
        <v>36</v>
      </c>
      <c r="C8" s="22" t="str">
        <f>TRIM(B8)</f>
        <v>Satyam Dubey</v>
      </c>
    </row>
    <row r="9" spans="1:12" ht="18">
      <c r="B9" s="18" t="s">
        <v>37</v>
      </c>
      <c r="C9" s="17" t="str">
        <f t="shared" ref="C9:C16" si="0">TRIM(B9)</f>
        <v>Ishika kh anna</v>
      </c>
    </row>
    <row r="10" spans="1:12" ht="18">
      <c r="B10" s="18" t="s">
        <v>38</v>
      </c>
      <c r="C10" s="17" t="str">
        <f t="shared" si="0"/>
        <v>Vikas singh</v>
      </c>
    </row>
    <row r="11" spans="1:12" ht="18">
      <c r="B11" s="18" t="s">
        <v>39</v>
      </c>
      <c r="C11" s="17" t="str">
        <f t="shared" si="0"/>
        <v>paul Bengali</v>
      </c>
    </row>
    <row r="12" spans="1:12" ht="18">
      <c r="B12" s="18" t="s">
        <v>40</v>
      </c>
      <c r="C12" s="17" t="str">
        <f t="shared" si="0"/>
        <v>Ritisha Sharma</v>
      </c>
    </row>
    <row r="13" spans="1:12" ht="18">
      <c r="B13" s="18" t="s">
        <v>41</v>
      </c>
      <c r="C13" s="17" t="str">
        <f t="shared" si="0"/>
        <v>Abha tiwari</v>
      </c>
    </row>
    <row r="14" spans="1:12" ht="18">
      <c r="B14" s="18" t="s">
        <v>42</v>
      </c>
      <c r="C14" s="17" t="str">
        <f t="shared" si="0"/>
        <v>Camelia Mitra</v>
      </c>
    </row>
    <row r="15" spans="1:12" ht="18">
      <c r="B15" s="18" t="s">
        <v>43</v>
      </c>
      <c r="C15" s="17" t="str">
        <f t="shared" si="0"/>
        <v>Akshay surve</v>
      </c>
    </row>
    <row r="16" spans="1:12" ht="18">
      <c r="B16" s="18" t="s">
        <v>44</v>
      </c>
      <c r="C16" s="17" t="str">
        <f t="shared" si="0"/>
        <v>namit singh</v>
      </c>
    </row>
    <row r="17" spans="1:8" ht="18.600000000000001" thickBot="1">
      <c r="B17" s="19"/>
      <c r="C17" s="20"/>
    </row>
    <row r="19" spans="1:8" ht="21">
      <c r="A19" s="1" t="s">
        <v>46</v>
      </c>
    </row>
    <row r="20" spans="1:8" ht="21">
      <c r="A20" s="21" t="s">
        <v>34</v>
      </c>
      <c r="B20" s="64" t="s">
        <v>47</v>
      </c>
      <c r="C20" s="64"/>
      <c r="D20" s="64"/>
      <c r="E20" s="64"/>
      <c r="F20" s="64"/>
      <c r="G20" s="64"/>
      <c r="H20" s="64"/>
    </row>
    <row r="21" spans="1:8" ht="21.6" thickBot="1">
      <c r="A21" s="1" t="s">
        <v>49</v>
      </c>
    </row>
    <row r="22" spans="1:8" ht="18.600000000000001" thickBot="1">
      <c r="B22" s="15" t="s">
        <v>35</v>
      </c>
      <c r="C22" s="15" t="s">
        <v>48</v>
      </c>
    </row>
    <row r="23" spans="1:8" ht="18">
      <c r="B23" s="25" t="s">
        <v>36</v>
      </c>
      <c r="C23" s="26" t="str">
        <f>LEFT(TRIM(B23),FIND(" ",TRIM(B23))-1)</f>
        <v>Satyam</v>
      </c>
    </row>
    <row r="24" spans="1:8" ht="18">
      <c r="B24" s="23" t="s">
        <v>37</v>
      </c>
      <c r="C24" s="26" t="str">
        <f t="shared" ref="C24:C31" si="1">LEFT(TRIM(B24),FIND(" ",TRIM(B24))-1)</f>
        <v>Ishika</v>
      </c>
    </row>
    <row r="25" spans="1:8" ht="18">
      <c r="B25" s="23" t="s">
        <v>38</v>
      </c>
      <c r="C25" s="26" t="str">
        <f t="shared" si="1"/>
        <v>Vikas</v>
      </c>
    </row>
    <row r="26" spans="1:8" ht="18">
      <c r="B26" s="23" t="s">
        <v>39</v>
      </c>
      <c r="C26" s="26" t="str">
        <f t="shared" si="1"/>
        <v>paul</v>
      </c>
    </row>
    <row r="27" spans="1:8" ht="18">
      <c r="B27" s="23" t="s">
        <v>40</v>
      </c>
      <c r="C27" s="26" t="str">
        <f t="shared" si="1"/>
        <v>Ritisha</v>
      </c>
    </row>
    <row r="28" spans="1:8" ht="18">
      <c r="B28" s="23" t="s">
        <v>41</v>
      </c>
      <c r="C28" s="26" t="str">
        <f t="shared" si="1"/>
        <v>Abha</v>
      </c>
    </row>
    <row r="29" spans="1:8" ht="18">
      <c r="B29" s="23" t="s">
        <v>42</v>
      </c>
      <c r="C29" s="26" t="str">
        <f t="shared" si="1"/>
        <v>Camelia</v>
      </c>
    </row>
    <row r="30" spans="1:8" ht="18">
      <c r="B30" s="23" t="s">
        <v>43</v>
      </c>
      <c r="C30" s="26" t="str">
        <f t="shared" si="1"/>
        <v>Akshay</v>
      </c>
    </row>
    <row r="31" spans="1:8" ht="18">
      <c r="B31" s="23" t="s">
        <v>44</v>
      </c>
      <c r="C31" s="26" t="str">
        <f t="shared" si="1"/>
        <v>namit</v>
      </c>
    </row>
    <row r="32" spans="1:8" ht="18.600000000000001" thickBot="1">
      <c r="B32" s="24"/>
      <c r="C32" s="14"/>
    </row>
    <row r="34" spans="1:3" ht="21">
      <c r="A34" s="1" t="s">
        <v>50</v>
      </c>
    </row>
    <row r="35" spans="1:3" ht="21">
      <c r="A35" s="21" t="s">
        <v>34</v>
      </c>
      <c r="B35" s="3" t="s">
        <v>51</v>
      </c>
    </row>
    <row r="36" spans="1:3" ht="21.6" thickBot="1">
      <c r="A36" s="1" t="s">
        <v>49</v>
      </c>
    </row>
    <row r="37" spans="1:3" ht="18.600000000000001" thickBot="1">
      <c r="B37" s="15" t="s">
        <v>35</v>
      </c>
      <c r="C37" s="15" t="s">
        <v>52</v>
      </c>
    </row>
    <row r="38" spans="1:3" ht="18">
      <c r="B38" s="25" t="s">
        <v>36</v>
      </c>
      <c r="C38" s="26" t="str">
        <f>RIGHT(TRIM(B38),LEN(TRIM(B38))-FIND("@",SUBSTITUTE(TRIM(B38)," ","@",LEN(TRIM(B38))-LEN(SUBSTITUTE(TRIM(B38)," ","")))))</f>
        <v>Dubey</v>
      </c>
    </row>
    <row r="39" spans="1:3" ht="18">
      <c r="B39" s="23" t="s">
        <v>37</v>
      </c>
      <c r="C39" s="26" t="str">
        <f t="shared" ref="C39:C46" si="2">RIGHT(TRIM(B39),LEN(TRIM(B39))-FIND("@",SUBSTITUTE(TRIM(B39)," ","@",LEN(TRIM(B39))-LEN(SUBSTITUTE(TRIM(B39)," ","")))))</f>
        <v>anna</v>
      </c>
    </row>
    <row r="40" spans="1:3" ht="18">
      <c r="B40" s="23" t="s">
        <v>38</v>
      </c>
      <c r="C40" s="26" t="str">
        <f t="shared" si="2"/>
        <v>singh</v>
      </c>
    </row>
    <row r="41" spans="1:3" ht="18">
      <c r="B41" s="23" t="s">
        <v>39</v>
      </c>
      <c r="C41" s="26" t="str">
        <f t="shared" si="2"/>
        <v>Bengali</v>
      </c>
    </row>
    <row r="42" spans="1:3" ht="18">
      <c r="B42" s="23" t="s">
        <v>40</v>
      </c>
      <c r="C42" s="26" t="str">
        <f t="shared" si="2"/>
        <v>Sharma</v>
      </c>
    </row>
    <row r="43" spans="1:3" ht="18">
      <c r="B43" s="23" t="s">
        <v>41</v>
      </c>
      <c r="C43" s="26" t="str">
        <f t="shared" si="2"/>
        <v>tiwari</v>
      </c>
    </row>
    <row r="44" spans="1:3" ht="18">
      <c r="B44" s="23" t="s">
        <v>42</v>
      </c>
      <c r="C44" s="26" t="str">
        <f t="shared" si="2"/>
        <v>Mitra</v>
      </c>
    </row>
    <row r="45" spans="1:3" ht="18">
      <c r="B45" s="23" t="s">
        <v>43</v>
      </c>
      <c r="C45" s="26" t="str">
        <f t="shared" si="2"/>
        <v>surve</v>
      </c>
    </row>
    <row r="46" spans="1:3" ht="18">
      <c r="B46" s="23" t="s">
        <v>44</v>
      </c>
      <c r="C46" s="26" t="str">
        <f t="shared" si="2"/>
        <v>singh</v>
      </c>
    </row>
    <row r="47" spans="1:3" ht="18.600000000000001" thickBot="1">
      <c r="B47" s="24"/>
      <c r="C47" s="14"/>
    </row>
    <row r="49" spans="1:3" ht="21">
      <c r="A49" s="1" t="s">
        <v>53</v>
      </c>
    </row>
    <row r="50" spans="1:3" ht="21">
      <c r="A50" s="21" t="s">
        <v>34</v>
      </c>
      <c r="B50" s="3" t="s">
        <v>54</v>
      </c>
    </row>
    <row r="51" spans="1:3" ht="21.6" thickBot="1">
      <c r="A51" s="1" t="s">
        <v>49</v>
      </c>
    </row>
    <row r="52" spans="1:3" ht="18.600000000000001" thickBot="1">
      <c r="B52" s="15" t="s">
        <v>35</v>
      </c>
      <c r="C52" s="15" t="s">
        <v>55</v>
      </c>
    </row>
    <row r="53" spans="1:3" ht="18">
      <c r="B53" s="25" t="s">
        <v>36</v>
      </c>
      <c r="C53" s="26" t="str">
        <f>MID(TRIM(B53),FIND(" ",TRIM(B53))+1,50)</f>
        <v>Dubey</v>
      </c>
    </row>
    <row r="54" spans="1:3" ht="18">
      <c r="B54" s="23" t="s">
        <v>37</v>
      </c>
      <c r="C54" s="26" t="str">
        <f t="shared" ref="C54:C61" si="3">MID(TRIM(B54),FIND(" ",TRIM(B54))+1,50)</f>
        <v>kh anna</v>
      </c>
    </row>
    <row r="55" spans="1:3" ht="18">
      <c r="B55" s="23" t="s">
        <v>38</v>
      </c>
      <c r="C55" s="26" t="str">
        <f t="shared" si="3"/>
        <v>singh</v>
      </c>
    </row>
    <row r="56" spans="1:3" ht="18">
      <c r="B56" s="23" t="s">
        <v>39</v>
      </c>
      <c r="C56" s="26" t="str">
        <f t="shared" si="3"/>
        <v>Bengali</v>
      </c>
    </row>
    <row r="57" spans="1:3" ht="18">
      <c r="B57" s="23" t="s">
        <v>40</v>
      </c>
      <c r="C57" s="26" t="str">
        <f t="shared" si="3"/>
        <v>Sharma</v>
      </c>
    </row>
    <row r="58" spans="1:3" ht="18">
      <c r="B58" s="23" t="s">
        <v>41</v>
      </c>
      <c r="C58" s="26" t="str">
        <f t="shared" si="3"/>
        <v>tiwari</v>
      </c>
    </row>
    <row r="59" spans="1:3" ht="18">
      <c r="B59" s="23" t="s">
        <v>42</v>
      </c>
      <c r="C59" s="26" t="str">
        <f t="shared" si="3"/>
        <v>Mitra</v>
      </c>
    </row>
    <row r="60" spans="1:3" ht="18">
      <c r="B60" s="23" t="s">
        <v>43</v>
      </c>
      <c r="C60" s="26" t="str">
        <f t="shared" si="3"/>
        <v>surve</v>
      </c>
    </row>
    <row r="61" spans="1:3" ht="18">
      <c r="B61" s="23" t="s">
        <v>44</v>
      </c>
      <c r="C61" s="26" t="str">
        <f t="shared" si="3"/>
        <v>singh</v>
      </c>
    </row>
    <row r="62" spans="1:3" ht="18.600000000000001" thickBot="1">
      <c r="B62" s="24"/>
      <c r="C62" s="14"/>
    </row>
    <row r="64" spans="1:3" ht="21">
      <c r="A64" s="1" t="s">
        <v>56</v>
      </c>
    </row>
    <row r="65" spans="1:6" ht="21">
      <c r="A65" s="21" t="s">
        <v>34</v>
      </c>
      <c r="B65" s="3" t="s">
        <v>57</v>
      </c>
    </row>
    <row r="66" spans="1:6" ht="21.6" thickBot="1">
      <c r="A66" s="1" t="s">
        <v>49</v>
      </c>
    </row>
    <row r="67" spans="1:6" ht="18.600000000000001" thickBot="1">
      <c r="B67" s="15" t="s">
        <v>35</v>
      </c>
      <c r="C67" s="15" t="s">
        <v>45</v>
      </c>
      <c r="D67" s="15" t="s">
        <v>59</v>
      </c>
      <c r="E67" s="15" t="s">
        <v>60</v>
      </c>
      <c r="F67" s="15" t="s">
        <v>58</v>
      </c>
    </row>
    <row r="68" spans="1:6" ht="18">
      <c r="B68" s="25" t="s">
        <v>36</v>
      </c>
      <c r="C68" s="25" t="str">
        <f>TRIM(B68)</f>
        <v>Satyam Dubey</v>
      </c>
      <c r="D68" s="25" t="str">
        <f>LEFT(B68,FIND(" ",B68)-1)</f>
        <v>Satyam</v>
      </c>
      <c r="E68" s="25" t="str">
        <f>RIGHT(B68,FIND(" ",B68)-1)</f>
        <v xml:space="preserve"> Dubey</v>
      </c>
      <c r="F68" s="28" t="str">
        <f>_xlfn.CONCAT(D68,"",E68)</f>
        <v>Satyam Dubey</v>
      </c>
    </row>
    <row r="69" spans="1:6" ht="18">
      <c r="B69" s="23" t="s">
        <v>37</v>
      </c>
      <c r="C69" s="25" t="str">
        <f t="shared" ref="C69:C77" si="4">TRIM(B69)</f>
        <v>Ishika kh anna</v>
      </c>
      <c r="D69" s="25" t="str">
        <f t="shared" ref="D69:D76" si="5">LEFT(B69,FIND(" ",B69)-1)</f>
        <v>Ishika</v>
      </c>
      <c r="E69" s="25" t="str">
        <f t="shared" ref="E69:E76" si="6">RIGHT(B69,FIND(" ",B69)-1)</f>
        <v xml:space="preserve">  anna</v>
      </c>
      <c r="F69" s="28" t="str">
        <f t="shared" ref="F69:F76" si="7">_xlfn.CONCAT(D69,"",E69)</f>
        <v>Ishika  anna</v>
      </c>
    </row>
    <row r="70" spans="1:6" ht="18">
      <c r="B70" s="23" t="s">
        <v>38</v>
      </c>
      <c r="C70" s="25" t="str">
        <f t="shared" si="4"/>
        <v>Vikas singh</v>
      </c>
      <c r="D70" s="25" t="str">
        <f t="shared" si="5"/>
        <v>Vikas</v>
      </c>
      <c r="E70" s="25" t="str">
        <f t="shared" si="6"/>
        <v>singh</v>
      </c>
      <c r="F70" s="28" t="str">
        <f t="shared" si="7"/>
        <v>Vikassingh</v>
      </c>
    </row>
    <row r="71" spans="1:6" ht="18">
      <c r="B71" s="23" t="s">
        <v>39</v>
      </c>
      <c r="C71" s="25" t="str">
        <f t="shared" si="4"/>
        <v>paul Bengali</v>
      </c>
      <c r="D71" s="25" t="str">
        <f t="shared" si="5"/>
        <v>paul</v>
      </c>
      <c r="E71" s="25" t="str">
        <f t="shared" si="6"/>
        <v>gali</v>
      </c>
      <c r="F71" s="28" t="str">
        <f t="shared" si="7"/>
        <v>paulgali</v>
      </c>
    </row>
    <row r="72" spans="1:6" ht="18">
      <c r="B72" s="23" t="s">
        <v>40</v>
      </c>
      <c r="C72" s="25" t="str">
        <f t="shared" si="4"/>
        <v>Ritisha Sharma</v>
      </c>
      <c r="D72" s="25" t="str">
        <f t="shared" si="5"/>
        <v>Ritisha</v>
      </c>
      <c r="E72" s="25" t="str">
        <f t="shared" si="6"/>
        <v xml:space="preserve"> Sharma</v>
      </c>
      <c r="F72" s="28" t="str">
        <f t="shared" si="7"/>
        <v>Ritisha Sharma</v>
      </c>
    </row>
    <row r="73" spans="1:6" ht="18">
      <c r="B73" s="23" t="s">
        <v>41</v>
      </c>
      <c r="C73" s="25" t="str">
        <f t="shared" si="4"/>
        <v>Abha tiwari</v>
      </c>
      <c r="D73" s="25" t="str">
        <f t="shared" si="5"/>
        <v>Abha</v>
      </c>
      <c r="E73" s="25" t="str">
        <f t="shared" si="6"/>
        <v>wari</v>
      </c>
      <c r="F73" s="28" t="str">
        <f t="shared" si="7"/>
        <v>Abhawari</v>
      </c>
    </row>
    <row r="74" spans="1:6" ht="18">
      <c r="B74" s="23" t="s">
        <v>42</v>
      </c>
      <c r="C74" s="25" t="str">
        <f t="shared" si="4"/>
        <v>Camelia Mitra</v>
      </c>
      <c r="D74" s="25" t="str">
        <f t="shared" si="5"/>
        <v>Camelia</v>
      </c>
      <c r="E74" s="25" t="str">
        <f t="shared" si="6"/>
        <v>a Mitra</v>
      </c>
      <c r="F74" s="28" t="str">
        <f t="shared" si="7"/>
        <v>Cameliaa Mitra</v>
      </c>
    </row>
    <row r="75" spans="1:6" ht="18">
      <c r="B75" s="23" t="s">
        <v>43</v>
      </c>
      <c r="C75" s="25" t="str">
        <f t="shared" si="4"/>
        <v>Akshay surve</v>
      </c>
      <c r="D75" s="25" t="str">
        <f t="shared" si="5"/>
        <v>Akshay</v>
      </c>
      <c r="E75" s="25" t="str">
        <f t="shared" si="6"/>
        <v xml:space="preserve"> surve</v>
      </c>
      <c r="F75" s="28" t="str">
        <f t="shared" si="7"/>
        <v>Akshay surve</v>
      </c>
    </row>
    <row r="76" spans="1:6" ht="18">
      <c r="B76" s="23" t="s">
        <v>44</v>
      </c>
      <c r="C76" s="25" t="str">
        <f t="shared" si="4"/>
        <v>namit singh</v>
      </c>
      <c r="D76" s="25" t="str">
        <f t="shared" si="5"/>
        <v>namit</v>
      </c>
      <c r="E76" s="25" t="str">
        <f t="shared" si="6"/>
        <v>singh</v>
      </c>
      <c r="F76" s="28" t="str">
        <f t="shared" si="7"/>
        <v>namitsingh</v>
      </c>
    </row>
    <row r="77" spans="1:6" ht="18.600000000000001" thickBot="1">
      <c r="B77" s="24"/>
      <c r="C77" s="29" t="str">
        <f t="shared" si="4"/>
        <v/>
      </c>
      <c r="D77" s="29"/>
      <c r="E77" s="29"/>
      <c r="F77" s="30"/>
    </row>
  </sheetData>
  <mergeCells count="4">
    <mergeCell ref="A1:L1"/>
    <mergeCell ref="A3:L3"/>
    <mergeCell ref="B5:H5"/>
    <mergeCell ref="B20:H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
  <sheetViews>
    <sheetView workbookViewId="0">
      <selection activeCell="K14" sqref="K14"/>
    </sheetView>
  </sheetViews>
  <sheetFormatPr defaultRowHeight="14.4"/>
  <sheetData>
    <row r="1" spans="1:17" ht="31.2">
      <c r="A1" s="71" t="s">
        <v>62</v>
      </c>
      <c r="B1" s="72"/>
      <c r="C1" s="72"/>
      <c r="D1" s="72"/>
      <c r="E1" s="72"/>
      <c r="F1" s="72"/>
      <c r="G1" s="72"/>
      <c r="H1" s="72"/>
      <c r="I1" s="72"/>
      <c r="J1" s="72"/>
      <c r="K1" s="72"/>
      <c r="L1" s="72"/>
      <c r="M1" s="72"/>
      <c r="N1" s="72"/>
      <c r="O1" s="72"/>
    </row>
    <row r="3" spans="1:17" ht="23.4">
      <c r="A3" s="69" t="s">
        <v>30</v>
      </c>
      <c r="B3" s="69"/>
    </row>
    <row r="4" spans="1:17" ht="14.4" customHeight="1">
      <c r="A4" s="70" t="s">
        <v>61</v>
      </c>
      <c r="B4" s="70"/>
      <c r="C4" s="70"/>
      <c r="D4" s="70"/>
      <c r="E4" s="70"/>
      <c r="F4" s="70"/>
      <c r="G4" s="70"/>
      <c r="H4" s="70"/>
      <c r="I4" s="70"/>
      <c r="J4" s="70"/>
      <c r="K4" s="70"/>
      <c r="L4" s="70"/>
      <c r="M4" s="70"/>
      <c r="N4" s="70"/>
      <c r="O4" s="70"/>
      <c r="P4" s="70"/>
      <c r="Q4" s="70"/>
    </row>
    <row r="5" spans="1:17" ht="14.4" customHeight="1">
      <c r="A5" s="70"/>
      <c r="B5" s="70"/>
      <c r="C5" s="70"/>
      <c r="D5" s="70"/>
      <c r="E5" s="70"/>
      <c r="F5" s="70"/>
      <c r="G5" s="70"/>
      <c r="H5" s="70"/>
      <c r="I5" s="70"/>
      <c r="J5" s="70"/>
      <c r="K5" s="70"/>
      <c r="L5" s="70"/>
      <c r="M5" s="70"/>
      <c r="N5" s="70"/>
      <c r="O5" s="70"/>
      <c r="P5" s="70"/>
      <c r="Q5" s="70"/>
    </row>
    <row r="6" spans="1:17" ht="14.4" customHeight="1">
      <c r="A6" s="70"/>
      <c r="B6" s="70"/>
      <c r="C6" s="70"/>
      <c r="D6" s="70"/>
      <c r="E6" s="70"/>
      <c r="F6" s="70"/>
      <c r="G6" s="70"/>
      <c r="H6" s="70"/>
      <c r="I6" s="70"/>
      <c r="J6" s="70"/>
      <c r="K6" s="70"/>
      <c r="L6" s="70"/>
      <c r="M6" s="70"/>
      <c r="N6" s="70"/>
      <c r="O6" s="70"/>
      <c r="P6" s="70"/>
      <c r="Q6" s="70"/>
    </row>
    <row r="7" spans="1:17" ht="14.4" customHeight="1">
      <c r="A7" s="70"/>
      <c r="B7" s="70"/>
      <c r="C7" s="70"/>
      <c r="D7" s="70"/>
      <c r="E7" s="70"/>
      <c r="F7" s="70"/>
      <c r="G7" s="70"/>
      <c r="H7" s="70"/>
      <c r="I7" s="70"/>
      <c r="J7" s="70"/>
      <c r="K7" s="70"/>
      <c r="L7" s="70"/>
      <c r="M7" s="70"/>
      <c r="N7" s="70"/>
      <c r="O7" s="70"/>
      <c r="P7" s="70"/>
      <c r="Q7" s="70"/>
    </row>
    <row r="8" spans="1:17" ht="14.4" customHeight="1">
      <c r="A8" s="70"/>
      <c r="B8" s="70"/>
      <c r="C8" s="70"/>
      <c r="D8" s="70"/>
      <c r="E8" s="70"/>
      <c r="F8" s="70"/>
      <c r="G8" s="70"/>
      <c r="H8" s="70"/>
      <c r="I8" s="70"/>
      <c r="J8" s="70"/>
      <c r="K8" s="70"/>
      <c r="L8" s="70"/>
      <c r="M8" s="70"/>
      <c r="N8" s="70"/>
      <c r="O8" s="70"/>
      <c r="P8" s="70"/>
      <c r="Q8" s="70"/>
    </row>
    <row r="9" spans="1:17">
      <c r="A9" s="70"/>
      <c r="B9" s="70"/>
      <c r="C9" s="70"/>
      <c r="D9" s="70"/>
      <c r="E9" s="70"/>
      <c r="F9" s="70"/>
      <c r="G9" s="70"/>
      <c r="H9" s="70"/>
      <c r="I9" s="70"/>
      <c r="J9" s="70"/>
      <c r="K9" s="70"/>
      <c r="L9" s="70"/>
      <c r="M9" s="70"/>
      <c r="N9" s="70"/>
      <c r="O9" s="70"/>
      <c r="P9" s="70"/>
      <c r="Q9" s="70"/>
    </row>
    <row r="10" spans="1:17">
      <c r="A10" s="70"/>
      <c r="B10" s="70"/>
      <c r="C10" s="70"/>
      <c r="D10" s="70"/>
      <c r="E10" s="70"/>
      <c r="F10" s="70"/>
      <c r="G10" s="70"/>
      <c r="H10" s="70"/>
      <c r="I10" s="70"/>
      <c r="J10" s="70"/>
      <c r="K10" s="70"/>
      <c r="L10" s="70"/>
      <c r="M10" s="70"/>
      <c r="N10" s="70"/>
      <c r="O10" s="70"/>
      <c r="P10" s="70"/>
      <c r="Q10" s="70"/>
    </row>
  </sheetData>
  <mergeCells count="3">
    <mergeCell ref="A3:B3"/>
    <mergeCell ref="A4:Q10"/>
    <mergeCell ref="A1:O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2"/>
  <sheetViews>
    <sheetView workbookViewId="0">
      <selection activeCell="A12" sqref="A12:E21"/>
    </sheetView>
  </sheetViews>
  <sheetFormatPr defaultRowHeight="14.4"/>
  <cols>
    <col min="1" max="1" width="18.88671875" bestFit="1" customWidth="1"/>
    <col min="2" max="2" width="16.33203125" bestFit="1" customWidth="1"/>
    <col min="3" max="3" width="14.33203125" bestFit="1" customWidth="1"/>
    <col min="4" max="4" width="10.33203125" bestFit="1" customWidth="1"/>
    <col min="5" max="5" width="15" bestFit="1" customWidth="1"/>
  </cols>
  <sheetData>
    <row r="1" spans="1:15" ht="14.4" customHeight="1">
      <c r="A1" s="73" t="s">
        <v>63</v>
      </c>
      <c r="B1" s="74"/>
      <c r="C1" s="74"/>
      <c r="D1" s="74"/>
      <c r="E1" s="74"/>
      <c r="F1" s="74"/>
      <c r="G1" s="74"/>
      <c r="H1" s="74"/>
      <c r="I1" s="74"/>
      <c r="J1" s="74"/>
      <c r="K1" s="74"/>
      <c r="L1" s="74"/>
      <c r="M1" s="74"/>
      <c r="N1" s="74"/>
      <c r="O1" s="74"/>
    </row>
    <row r="2" spans="1:15" ht="14.4" customHeight="1">
      <c r="A2" s="73"/>
      <c r="B2" s="74"/>
      <c r="C2" s="74"/>
      <c r="D2" s="74"/>
      <c r="E2" s="74"/>
      <c r="F2" s="74"/>
      <c r="G2" s="74"/>
      <c r="H2" s="74"/>
      <c r="I2" s="74"/>
      <c r="J2" s="74"/>
      <c r="K2" s="74"/>
      <c r="L2" s="74"/>
      <c r="M2" s="74"/>
      <c r="N2" s="74"/>
      <c r="O2" s="74"/>
    </row>
    <row r="3" spans="1:15" ht="14.4" customHeight="1">
      <c r="A3" s="73"/>
      <c r="B3" s="74"/>
      <c r="C3" s="74"/>
      <c r="D3" s="74"/>
      <c r="E3" s="74"/>
      <c r="F3" s="74"/>
      <c r="G3" s="74"/>
      <c r="H3" s="74"/>
      <c r="I3" s="74"/>
      <c r="J3" s="74"/>
      <c r="K3" s="74"/>
      <c r="L3" s="74"/>
      <c r="M3" s="74"/>
      <c r="N3" s="74"/>
      <c r="O3" s="74"/>
    </row>
    <row r="4" spans="1:15" ht="14.4" customHeight="1">
      <c r="A4" s="73"/>
      <c r="B4" s="74"/>
      <c r="C4" s="74"/>
      <c r="D4" s="74"/>
      <c r="E4" s="74"/>
      <c r="F4" s="74"/>
      <c r="G4" s="74"/>
      <c r="H4" s="74"/>
      <c r="I4" s="74"/>
      <c r="J4" s="74"/>
      <c r="K4" s="74"/>
      <c r="L4" s="74"/>
      <c r="M4" s="74"/>
      <c r="N4" s="74"/>
      <c r="O4" s="74"/>
    </row>
    <row r="5" spans="1:15" ht="14.4" customHeight="1">
      <c r="A5" s="73"/>
      <c r="B5" s="74"/>
      <c r="C5" s="74"/>
      <c r="D5" s="74"/>
      <c r="E5" s="74"/>
      <c r="F5" s="74"/>
      <c r="G5" s="74"/>
      <c r="H5" s="74"/>
      <c r="I5" s="74"/>
      <c r="J5" s="74"/>
      <c r="K5" s="74"/>
      <c r="L5" s="74"/>
      <c r="M5" s="74"/>
      <c r="N5" s="74"/>
      <c r="O5" s="74"/>
    </row>
    <row r="6" spans="1:15" ht="14.4" customHeight="1">
      <c r="A6" s="73"/>
      <c r="B6" s="74"/>
      <c r="C6" s="74"/>
      <c r="D6" s="74"/>
      <c r="E6" s="74"/>
      <c r="F6" s="74"/>
      <c r="G6" s="74"/>
      <c r="H6" s="74"/>
      <c r="I6" s="74"/>
      <c r="J6" s="74"/>
      <c r="K6" s="74"/>
      <c r="L6" s="74"/>
      <c r="M6" s="74"/>
      <c r="N6" s="74"/>
      <c r="O6" s="74"/>
    </row>
    <row r="7" spans="1:15" ht="14.4" customHeight="1">
      <c r="A7" s="73"/>
      <c r="B7" s="74"/>
      <c r="C7" s="74"/>
      <c r="D7" s="74"/>
      <c r="E7" s="74"/>
      <c r="F7" s="74"/>
      <c r="G7" s="74"/>
      <c r="H7" s="74"/>
      <c r="I7" s="74"/>
      <c r="J7" s="74"/>
      <c r="K7" s="74"/>
      <c r="L7" s="74"/>
      <c r="M7" s="74"/>
      <c r="N7" s="74"/>
      <c r="O7" s="74"/>
    </row>
    <row r="8" spans="1:15" ht="28.2" customHeight="1">
      <c r="A8" s="73"/>
      <c r="B8" s="74"/>
      <c r="C8" s="74"/>
      <c r="D8" s="74"/>
      <c r="E8" s="74"/>
      <c r="F8" s="74"/>
      <c r="G8" s="74"/>
      <c r="H8" s="74"/>
      <c r="I8" s="74"/>
      <c r="J8" s="74"/>
      <c r="K8" s="74"/>
      <c r="L8" s="74"/>
      <c r="M8" s="74"/>
      <c r="N8" s="74"/>
      <c r="O8" s="74"/>
    </row>
    <row r="9" spans="1:15" ht="14.4" customHeight="1">
      <c r="A9" s="75" t="s">
        <v>89</v>
      </c>
      <c r="B9" s="75"/>
      <c r="C9" s="75"/>
      <c r="D9" s="75"/>
      <c r="E9" s="75"/>
      <c r="F9" s="75"/>
      <c r="G9" s="31"/>
      <c r="H9" s="31"/>
      <c r="I9" s="31"/>
      <c r="J9" s="31"/>
      <c r="K9" s="31"/>
      <c r="L9" s="31"/>
    </row>
    <row r="10" spans="1:15" ht="14.4" customHeight="1">
      <c r="A10" s="75"/>
      <c r="B10" s="75"/>
      <c r="C10" s="75"/>
      <c r="D10" s="75"/>
      <c r="E10" s="75"/>
      <c r="F10" s="75"/>
      <c r="G10" s="31"/>
      <c r="H10" s="31"/>
      <c r="I10" s="31"/>
      <c r="J10" s="31"/>
      <c r="K10" s="31"/>
      <c r="L10" s="31"/>
    </row>
    <row r="11" spans="1:15" ht="14.4" customHeight="1" thickBot="1">
      <c r="A11" s="31"/>
      <c r="B11" s="31"/>
      <c r="C11" s="31"/>
      <c r="D11" s="31"/>
      <c r="E11" s="31"/>
      <c r="F11" s="31"/>
      <c r="G11" s="31"/>
      <c r="H11" s="31"/>
      <c r="I11" s="31"/>
      <c r="J11" s="31"/>
      <c r="K11" s="31"/>
      <c r="L11" s="31"/>
    </row>
    <row r="12" spans="1:15" ht="18.600000000000001" thickBot="1">
      <c r="A12" s="32" t="s">
        <v>64</v>
      </c>
      <c r="B12" s="33" t="s">
        <v>74</v>
      </c>
      <c r="C12" s="34" t="s">
        <v>75</v>
      </c>
      <c r="D12" s="34" t="s">
        <v>76</v>
      </c>
      <c r="E12" s="35" t="s">
        <v>77</v>
      </c>
    </row>
    <row r="13" spans="1:15" ht="18">
      <c r="A13" s="36" t="s">
        <v>65</v>
      </c>
      <c r="B13" s="37" t="s">
        <v>78</v>
      </c>
      <c r="C13" s="38" t="s">
        <v>86</v>
      </c>
      <c r="D13" s="39">
        <v>1</v>
      </c>
      <c r="E13" s="39">
        <v>81</v>
      </c>
    </row>
    <row r="14" spans="1:15" ht="18">
      <c r="A14" s="40" t="s">
        <v>66</v>
      </c>
      <c r="B14" s="37" t="s">
        <v>79</v>
      </c>
      <c r="C14" s="41" t="s">
        <v>86</v>
      </c>
      <c r="D14" s="37">
        <v>2</v>
      </c>
      <c r="E14" s="37">
        <v>121</v>
      </c>
    </row>
    <row r="15" spans="1:15" ht="18">
      <c r="A15" s="40" t="s">
        <v>67</v>
      </c>
      <c r="B15" s="37" t="s">
        <v>80</v>
      </c>
      <c r="C15" s="41" t="s">
        <v>87</v>
      </c>
      <c r="D15" s="37">
        <v>4</v>
      </c>
      <c r="E15" s="37">
        <v>239</v>
      </c>
    </row>
    <row r="16" spans="1:15" ht="18">
      <c r="A16" s="40" t="s">
        <v>68</v>
      </c>
      <c r="B16" s="37" t="s">
        <v>78</v>
      </c>
      <c r="C16" s="41" t="s">
        <v>86</v>
      </c>
      <c r="D16" s="37"/>
      <c r="E16" s="37">
        <v>500</v>
      </c>
    </row>
    <row r="17" spans="1:5" ht="18">
      <c r="A17" s="40" t="s">
        <v>69</v>
      </c>
      <c r="B17" s="37" t="s">
        <v>81</v>
      </c>
      <c r="C17" s="41" t="s">
        <v>88</v>
      </c>
      <c r="D17" s="37"/>
      <c r="E17" s="37">
        <v>423</v>
      </c>
    </row>
    <row r="18" spans="1:5" ht="18">
      <c r="A18" s="40" t="s">
        <v>70</v>
      </c>
      <c r="B18" s="37" t="s">
        <v>82</v>
      </c>
      <c r="C18" s="41" t="s">
        <v>86</v>
      </c>
      <c r="D18" s="37"/>
      <c r="E18" s="37">
        <v>160</v>
      </c>
    </row>
    <row r="19" spans="1:5" ht="18">
      <c r="A19" s="40" t="s">
        <v>71</v>
      </c>
      <c r="B19" s="37" t="s">
        <v>83</v>
      </c>
      <c r="C19" s="41" t="s">
        <v>86</v>
      </c>
      <c r="D19" s="37"/>
      <c r="E19" s="37">
        <v>348</v>
      </c>
    </row>
    <row r="20" spans="1:5" ht="18">
      <c r="A20" s="40" t="s">
        <v>72</v>
      </c>
      <c r="B20" s="37" t="s">
        <v>84</v>
      </c>
      <c r="C20" s="41" t="s">
        <v>86</v>
      </c>
      <c r="D20" s="37"/>
      <c r="E20" s="37">
        <v>152</v>
      </c>
    </row>
    <row r="21" spans="1:5" ht="18">
      <c r="A21" s="40" t="s">
        <v>73</v>
      </c>
      <c r="B21" s="37" t="s">
        <v>85</v>
      </c>
      <c r="C21" s="41" t="s">
        <v>88</v>
      </c>
      <c r="D21" s="37"/>
      <c r="E21" s="37">
        <v>369</v>
      </c>
    </row>
    <row r="23" spans="1:5" ht="18">
      <c r="A23" s="42" t="s">
        <v>90</v>
      </c>
    </row>
    <row r="24" spans="1:5" ht="18">
      <c r="A24" s="43"/>
    </row>
    <row r="25" spans="1:5" ht="18">
      <c r="A25" s="43" t="s">
        <v>91</v>
      </c>
    </row>
    <row r="26" spans="1:5" ht="18">
      <c r="A26" s="43" t="s">
        <v>92</v>
      </c>
    </row>
    <row r="27" spans="1:5" ht="18">
      <c r="A27" s="43" t="s">
        <v>93</v>
      </c>
    </row>
    <row r="28" spans="1:5" ht="18">
      <c r="A28" s="43" t="s">
        <v>94</v>
      </c>
    </row>
    <row r="29" spans="1:5" ht="18">
      <c r="A29" s="44" t="s">
        <v>95</v>
      </c>
    </row>
    <row r="30" spans="1:5" ht="18">
      <c r="A30" s="44" t="s">
        <v>96</v>
      </c>
    </row>
    <row r="31" spans="1:5" ht="18">
      <c r="A31" s="44" t="s">
        <v>97</v>
      </c>
    </row>
    <row r="32" spans="1:5" ht="18">
      <c r="A32" s="44" t="s">
        <v>98</v>
      </c>
    </row>
    <row r="33" spans="1:1" ht="18">
      <c r="A33" s="43" t="s">
        <v>99</v>
      </c>
    </row>
    <row r="34" spans="1:1" ht="18">
      <c r="A34" s="45" t="s">
        <v>0</v>
      </c>
    </row>
    <row r="35" spans="1:1" ht="18">
      <c r="A35" s="43" t="s">
        <v>100</v>
      </c>
    </row>
    <row r="36" spans="1:1" ht="18">
      <c r="A36" s="45" t="s">
        <v>1</v>
      </c>
    </row>
    <row r="37" spans="1:1" ht="18">
      <c r="A37" s="43" t="s">
        <v>101</v>
      </c>
    </row>
    <row r="39" spans="1:1" ht="18">
      <c r="A39" s="42" t="s">
        <v>102</v>
      </c>
    </row>
    <row r="40" spans="1:1" ht="15.6">
      <c r="A40" s="46" t="s">
        <v>105</v>
      </c>
    </row>
    <row r="41" spans="1:1" ht="15.6">
      <c r="A41" s="46" t="s">
        <v>103</v>
      </c>
    </row>
    <row r="42" spans="1:1" ht="15.6">
      <c r="A42" s="46" t="s">
        <v>104</v>
      </c>
    </row>
  </sheetData>
  <mergeCells count="2">
    <mergeCell ref="A1:O8"/>
    <mergeCell ref="A9:F10"/>
  </mergeCells>
  <dataValidations count="1">
    <dataValidation type="whole" allowBlank="1" showInputMessage="1" showErrorMessage="1" error="Invalid input! The quantity must be a whole number between 1 and 10." prompt="Please enter a whole number between 1 and 10." sqref="A12:E21" xr:uid="{00000000-0002-0000-0500-000000000000}">
      <formula1>1</formula1>
      <formula2>10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3"/>
  <sheetViews>
    <sheetView topLeftCell="A7" workbookViewId="0">
      <selection activeCell="B33" sqref="B33:I33"/>
    </sheetView>
  </sheetViews>
  <sheetFormatPr defaultRowHeight="14.4"/>
  <sheetData>
    <row r="1" spans="1:19" ht="15" customHeight="1">
      <c r="A1" s="76" t="s">
        <v>108</v>
      </c>
      <c r="B1" s="76"/>
      <c r="C1" s="76"/>
      <c r="D1" s="76"/>
      <c r="E1" s="76"/>
      <c r="F1" s="76"/>
      <c r="G1" s="76"/>
      <c r="H1" s="76"/>
      <c r="I1" s="76"/>
      <c r="J1" s="76"/>
      <c r="K1" s="76"/>
      <c r="L1" s="76"/>
      <c r="M1" s="48"/>
      <c r="N1" s="48"/>
      <c r="O1" s="48"/>
      <c r="P1" s="48"/>
      <c r="Q1" s="48"/>
      <c r="R1" s="48"/>
      <c r="S1" s="48"/>
    </row>
    <row r="2" spans="1:19" ht="15" customHeight="1">
      <c r="A2" s="76"/>
      <c r="B2" s="76"/>
      <c r="C2" s="76"/>
      <c r="D2" s="76"/>
      <c r="E2" s="76"/>
      <c r="F2" s="76"/>
      <c r="G2" s="76"/>
      <c r="H2" s="76"/>
      <c r="I2" s="76"/>
      <c r="J2" s="76"/>
      <c r="K2" s="76"/>
      <c r="L2" s="76"/>
      <c r="M2" s="48"/>
      <c r="N2" s="48"/>
      <c r="O2" s="48"/>
      <c r="P2" s="48"/>
      <c r="Q2" s="48"/>
      <c r="R2" s="48"/>
      <c r="S2" s="48"/>
    </row>
    <row r="3" spans="1:19" ht="15" customHeight="1">
      <c r="A3" s="49"/>
      <c r="B3" s="49"/>
      <c r="C3" s="49"/>
      <c r="D3" s="49"/>
      <c r="E3" s="49"/>
      <c r="F3" s="49"/>
      <c r="G3" s="49"/>
      <c r="H3" s="49"/>
      <c r="I3" s="49"/>
      <c r="J3" s="49"/>
      <c r="K3" s="49"/>
      <c r="L3" s="49"/>
      <c r="M3" s="48"/>
      <c r="N3" s="48"/>
      <c r="O3" s="48"/>
      <c r="P3" s="48"/>
      <c r="Q3" s="48"/>
      <c r="R3" s="48"/>
      <c r="S3" s="48"/>
    </row>
    <row r="4" spans="1:19" ht="18">
      <c r="A4" s="68" t="s">
        <v>106</v>
      </c>
      <c r="B4" s="68"/>
      <c r="C4" s="68"/>
      <c r="D4" s="68"/>
      <c r="E4" s="68"/>
      <c r="F4" s="68"/>
      <c r="G4" s="68"/>
      <c r="H4" s="68"/>
      <c r="I4" s="68"/>
      <c r="J4" s="68"/>
      <c r="K4" s="68"/>
      <c r="L4" s="68"/>
    </row>
    <row r="5" spans="1:19" ht="18">
      <c r="A5" s="52" t="s">
        <v>107</v>
      </c>
      <c r="B5" s="53"/>
      <c r="C5" s="53"/>
      <c r="D5" s="53"/>
      <c r="E5" s="53"/>
      <c r="F5" s="53"/>
      <c r="G5" s="53"/>
      <c r="H5" s="53"/>
      <c r="I5" s="53"/>
      <c r="J5" s="53"/>
      <c r="K5" s="53"/>
    </row>
    <row r="6" spans="1:19" ht="18">
      <c r="A6" s="53"/>
      <c r="B6" s="52" t="str">
        <f>LEFT("ExcelTipsAreGreat",5)</f>
        <v>Excel</v>
      </c>
      <c r="C6" s="53"/>
      <c r="D6" s="53"/>
      <c r="E6" s="53"/>
      <c r="F6" s="53"/>
      <c r="G6" s="53"/>
      <c r="H6" s="53"/>
      <c r="I6" s="53"/>
      <c r="J6" s="53"/>
      <c r="K6" s="53"/>
    </row>
    <row r="7" spans="1:19" ht="18">
      <c r="A7" s="52" t="s">
        <v>113</v>
      </c>
      <c r="B7" s="53"/>
      <c r="C7" s="53"/>
      <c r="D7" s="53"/>
      <c r="E7" s="53"/>
      <c r="F7" s="53"/>
      <c r="G7" s="53"/>
      <c r="H7" s="53"/>
      <c r="I7" s="53"/>
      <c r="J7" s="53"/>
      <c r="K7" s="53"/>
    </row>
    <row r="8" spans="1:19" ht="18.75" customHeight="1">
      <c r="B8" s="77" t="s">
        <v>114</v>
      </c>
      <c r="C8" s="77"/>
      <c r="D8" s="77"/>
      <c r="E8" s="77"/>
      <c r="F8" s="77"/>
      <c r="G8" s="77"/>
      <c r="H8" s="77"/>
      <c r="I8" s="77"/>
      <c r="J8" s="3"/>
      <c r="K8" s="3"/>
    </row>
    <row r="9" spans="1:19" ht="18">
      <c r="A9" s="53"/>
      <c r="B9" s="53"/>
      <c r="C9" s="53"/>
      <c r="D9" s="53"/>
      <c r="E9" s="53"/>
      <c r="F9" s="53"/>
      <c r="G9" s="53"/>
      <c r="H9" s="53"/>
      <c r="I9" s="53"/>
      <c r="J9" s="53"/>
      <c r="K9" s="53"/>
    </row>
    <row r="10" spans="1:19" ht="18">
      <c r="A10" s="68" t="s">
        <v>109</v>
      </c>
      <c r="B10" s="68"/>
      <c r="C10" s="68"/>
      <c r="D10" s="68"/>
      <c r="E10" s="68"/>
      <c r="F10" s="68"/>
      <c r="G10" s="68"/>
      <c r="H10" s="68"/>
      <c r="I10" s="68"/>
      <c r="J10" s="68"/>
      <c r="K10" s="68"/>
      <c r="L10" s="68"/>
    </row>
    <row r="11" spans="1:19" ht="18">
      <c r="A11" s="52" t="s">
        <v>107</v>
      </c>
      <c r="B11" s="53"/>
      <c r="C11" s="53"/>
      <c r="D11" s="53"/>
      <c r="E11" s="53"/>
      <c r="F11" s="53"/>
      <c r="G11" s="53"/>
      <c r="H11" s="53"/>
      <c r="I11" s="53"/>
      <c r="J11" s="53"/>
      <c r="K11" s="53"/>
    </row>
    <row r="12" spans="1:19" ht="18">
      <c r="A12" s="53"/>
      <c r="B12" s="52" t="str">
        <f>RIGHT("DataAnalysis.xlsx",4)</f>
        <v>xlsx</v>
      </c>
      <c r="C12" s="53"/>
      <c r="D12" s="53"/>
      <c r="E12" s="53"/>
      <c r="F12" s="53"/>
      <c r="G12" s="53"/>
      <c r="H12" s="53"/>
      <c r="I12" s="53"/>
      <c r="J12" s="53"/>
      <c r="K12" s="53"/>
    </row>
    <row r="13" spans="1:19" ht="18">
      <c r="A13" s="52" t="s">
        <v>113</v>
      </c>
      <c r="B13" s="53"/>
      <c r="C13" s="53"/>
      <c r="D13" s="53"/>
      <c r="E13" s="53"/>
      <c r="F13" s="53"/>
      <c r="G13" s="53"/>
      <c r="H13" s="53"/>
      <c r="I13" s="53"/>
      <c r="J13" s="53"/>
      <c r="K13" s="53"/>
    </row>
    <row r="14" spans="1:19" ht="18">
      <c r="B14" s="64" t="s">
        <v>115</v>
      </c>
      <c r="C14" s="64"/>
      <c r="D14" s="64"/>
      <c r="E14" s="64"/>
      <c r="F14" s="64"/>
      <c r="G14" s="64"/>
      <c r="H14" s="64"/>
      <c r="I14" s="64"/>
    </row>
    <row r="16" spans="1:19" ht="18">
      <c r="A16" s="68" t="s">
        <v>110</v>
      </c>
      <c r="B16" s="68"/>
      <c r="C16" s="68"/>
      <c r="D16" s="68"/>
      <c r="E16" s="68"/>
      <c r="F16" s="68"/>
      <c r="G16" s="68"/>
      <c r="H16" s="68"/>
      <c r="I16" s="68"/>
      <c r="J16" s="68"/>
      <c r="K16" s="68"/>
      <c r="L16" s="68"/>
    </row>
    <row r="17" spans="1:12" ht="21">
      <c r="B17" s="1" t="str">
        <f>MID("ExcelTipsAreGreat",6,4)</f>
        <v>Tips</v>
      </c>
    </row>
    <row r="18" spans="1:12" ht="21">
      <c r="A18" s="52" t="s">
        <v>113</v>
      </c>
      <c r="B18" s="1"/>
    </row>
    <row r="19" spans="1:12" ht="18">
      <c r="B19" s="64" t="s">
        <v>116</v>
      </c>
      <c r="C19" s="64"/>
      <c r="D19" s="64"/>
      <c r="E19" s="64"/>
      <c r="F19" s="64"/>
      <c r="G19" s="64"/>
      <c r="H19" s="64"/>
      <c r="I19" s="64"/>
    </row>
    <row r="20" spans="1:12" ht="18">
      <c r="B20" s="64" t="s">
        <v>117</v>
      </c>
      <c r="C20" s="64"/>
      <c r="D20" s="64"/>
      <c r="E20" s="64"/>
      <c r="F20" s="64"/>
      <c r="G20" s="64"/>
      <c r="H20" s="64"/>
      <c r="I20" s="64"/>
    </row>
    <row r="21" spans="1:12" ht="13.5" customHeight="1">
      <c r="B21" s="1"/>
    </row>
    <row r="22" spans="1:12" ht="18">
      <c r="A22" s="68" t="s">
        <v>111</v>
      </c>
      <c r="B22" s="68"/>
      <c r="C22" s="68"/>
      <c r="D22" s="68"/>
      <c r="E22" s="68"/>
      <c r="F22" s="68"/>
      <c r="G22" s="68"/>
      <c r="H22" s="68"/>
      <c r="I22" s="68"/>
      <c r="J22" s="68"/>
      <c r="K22" s="68"/>
      <c r="L22" s="68"/>
    </row>
    <row r="23" spans="1:12" ht="18">
      <c r="A23" s="52" t="s">
        <v>107</v>
      </c>
    </row>
    <row r="24" spans="1:12" ht="18">
      <c r="B24" s="52">
        <f>LEN("Hello World!")</f>
        <v>12</v>
      </c>
    </row>
    <row r="25" spans="1:12" ht="18">
      <c r="A25" s="52" t="s">
        <v>113</v>
      </c>
    </row>
    <row r="26" spans="1:12" ht="18">
      <c r="B26" s="64" t="s">
        <v>118</v>
      </c>
      <c r="C26" s="64"/>
      <c r="D26" s="64"/>
      <c r="E26" s="64"/>
      <c r="F26" s="64"/>
      <c r="G26" s="64"/>
      <c r="H26" s="64"/>
      <c r="I26" s="64"/>
    </row>
    <row r="28" spans="1:12" ht="18">
      <c r="A28" s="68" t="s">
        <v>112</v>
      </c>
      <c r="B28" s="68"/>
      <c r="C28" s="68"/>
      <c r="D28" s="68"/>
      <c r="E28" s="68"/>
      <c r="F28" s="68"/>
      <c r="G28" s="68"/>
      <c r="H28" s="68"/>
      <c r="I28" s="68"/>
      <c r="J28" s="68"/>
      <c r="K28" s="68"/>
      <c r="L28" s="68"/>
    </row>
    <row r="29" spans="1:12" ht="18">
      <c r="A29" s="52" t="s">
        <v>107</v>
      </c>
      <c r="B29" s="27"/>
      <c r="C29" s="27"/>
      <c r="D29" s="27"/>
      <c r="E29" s="27"/>
      <c r="F29" s="27"/>
      <c r="G29" s="27"/>
      <c r="H29" s="27"/>
      <c r="I29" s="27"/>
      <c r="J29" s="27"/>
      <c r="K29" s="27"/>
      <c r="L29" s="27"/>
    </row>
    <row r="30" spans="1:12" ht="18">
      <c r="B30" s="52" t="str">
        <f>MID("12345-67890-ABCDE",7,6)</f>
        <v>67890-</v>
      </c>
    </row>
    <row r="31" spans="1:12" ht="18">
      <c r="A31" s="52" t="s">
        <v>113</v>
      </c>
    </row>
    <row r="32" spans="1:12" ht="18">
      <c r="B32" s="64" t="s">
        <v>119</v>
      </c>
      <c r="C32" s="64"/>
      <c r="D32" s="64"/>
      <c r="E32" s="64"/>
      <c r="F32" s="64"/>
      <c r="G32" s="64"/>
      <c r="H32" s="64"/>
      <c r="I32" s="64"/>
    </row>
    <row r="33" spans="2:9" ht="18">
      <c r="B33" s="64" t="s">
        <v>120</v>
      </c>
      <c r="C33" s="64"/>
      <c r="D33" s="64"/>
      <c r="E33" s="64"/>
      <c r="F33" s="64"/>
      <c r="G33" s="64"/>
      <c r="H33" s="64"/>
      <c r="I33" s="64"/>
    </row>
  </sheetData>
  <mergeCells count="13">
    <mergeCell ref="A1:L2"/>
    <mergeCell ref="A4:L4"/>
    <mergeCell ref="A10:L10"/>
    <mergeCell ref="B8:I8"/>
    <mergeCell ref="A28:L28"/>
    <mergeCell ref="B32:I32"/>
    <mergeCell ref="B33:I33"/>
    <mergeCell ref="B14:I14"/>
    <mergeCell ref="A16:L16"/>
    <mergeCell ref="B19:I19"/>
    <mergeCell ref="B20:I20"/>
    <mergeCell ref="A22:L22"/>
    <mergeCell ref="B26:I26"/>
  </mergeCell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3"/>
  <sheetViews>
    <sheetView workbookViewId="0">
      <selection activeCell="D21" sqref="D21"/>
    </sheetView>
  </sheetViews>
  <sheetFormatPr defaultRowHeight="14.4"/>
  <cols>
    <col min="2" max="2" width="15.6640625" customWidth="1"/>
    <col min="3" max="3" width="14.88671875" customWidth="1"/>
    <col min="4" max="4" width="13" customWidth="1"/>
  </cols>
  <sheetData>
    <row r="1" spans="1:15" ht="18.75" customHeight="1">
      <c r="A1" s="76" t="s">
        <v>121</v>
      </c>
      <c r="B1" s="76"/>
      <c r="C1" s="76"/>
      <c r="D1" s="76"/>
      <c r="E1" s="76"/>
      <c r="F1" s="76"/>
      <c r="G1" s="76"/>
      <c r="H1" s="76"/>
      <c r="I1" s="76"/>
      <c r="J1" s="76"/>
      <c r="K1" s="76"/>
      <c r="L1" s="76"/>
      <c r="M1" s="48"/>
      <c r="N1" s="48"/>
      <c r="O1" s="48"/>
    </row>
    <row r="2" spans="1:15" ht="18">
      <c r="A2" s="65" t="s">
        <v>122</v>
      </c>
      <c r="B2" s="65"/>
      <c r="C2" s="65"/>
      <c r="D2" s="65"/>
      <c r="E2" s="65"/>
      <c r="F2" s="65"/>
      <c r="G2" s="65"/>
      <c r="H2" s="65"/>
      <c r="I2" s="65"/>
      <c r="J2" s="65"/>
      <c r="K2" s="65"/>
      <c r="L2" s="48"/>
      <c r="M2" s="48"/>
      <c r="N2" s="48"/>
      <c r="O2" s="48"/>
    </row>
    <row r="3" spans="1:15" ht="18">
      <c r="A3" s="74" t="s">
        <v>107</v>
      </c>
      <c r="B3" s="74"/>
      <c r="C3" s="48"/>
      <c r="D3" s="48"/>
      <c r="E3" s="48"/>
      <c r="F3" s="48"/>
      <c r="G3" s="48"/>
      <c r="H3" s="48"/>
      <c r="I3" s="48"/>
      <c r="J3" s="48"/>
      <c r="K3" s="48"/>
      <c r="L3" s="48"/>
      <c r="M3" s="48"/>
      <c r="N3" s="48"/>
      <c r="O3" s="48"/>
    </row>
    <row r="4" spans="1:15" ht="15.6">
      <c r="A4" s="48"/>
      <c r="B4" s="78" t="str">
        <f>CONCATENATE("Hello"," ","World")</f>
        <v>Hello World</v>
      </c>
      <c r="C4" s="78"/>
      <c r="D4" s="48"/>
      <c r="E4" s="48"/>
      <c r="F4" s="48"/>
      <c r="G4" s="48"/>
      <c r="H4" s="48"/>
      <c r="I4" s="48"/>
      <c r="J4" s="48"/>
      <c r="K4" s="48"/>
      <c r="L4" s="48"/>
      <c r="M4" s="48"/>
      <c r="N4" s="48"/>
      <c r="O4" s="48"/>
    </row>
    <row r="5" spans="1:15">
      <c r="A5" s="48"/>
      <c r="B5" s="48"/>
      <c r="C5" s="48"/>
      <c r="D5" s="48"/>
      <c r="E5" s="48"/>
      <c r="F5" s="48"/>
      <c r="G5" s="48"/>
      <c r="H5" s="48"/>
      <c r="I5" s="48"/>
      <c r="J5" s="48"/>
      <c r="K5" s="48"/>
      <c r="L5" s="48"/>
      <c r="M5" s="48"/>
      <c r="N5" s="48"/>
      <c r="O5" s="48"/>
    </row>
    <row r="6" spans="1:15" ht="18.75" customHeight="1">
      <c r="A6" s="65" t="s">
        <v>123</v>
      </c>
      <c r="B6" s="65"/>
      <c r="C6" s="65"/>
      <c r="D6" s="65"/>
      <c r="E6" s="65"/>
      <c r="F6" s="65"/>
      <c r="G6" s="65"/>
      <c r="H6" s="65"/>
      <c r="I6" s="65"/>
      <c r="J6" s="65"/>
      <c r="K6" s="65"/>
      <c r="L6" s="65"/>
      <c r="M6" s="65"/>
      <c r="N6" s="48"/>
      <c r="O6" s="48"/>
    </row>
    <row r="7" spans="1:15" ht="18">
      <c r="A7" s="74" t="s">
        <v>107</v>
      </c>
      <c r="B7" s="74"/>
      <c r="C7" s="48"/>
      <c r="D7" s="48"/>
      <c r="E7" s="48"/>
      <c r="F7" s="48"/>
      <c r="G7" s="48"/>
      <c r="H7" s="48"/>
      <c r="I7" s="48"/>
      <c r="J7" s="48"/>
      <c r="K7" s="48"/>
      <c r="L7" s="48"/>
      <c r="M7" s="48"/>
      <c r="N7" s="48"/>
      <c r="O7" s="48"/>
    </row>
    <row r="8" spans="1:15" s="52" customFormat="1" ht="18">
      <c r="B8" s="52" t="str">
        <f>_xlfn.TEXTJOIN(",",TRUE,"Apple","Banana","Cherry")</f>
        <v>Apple,Banana,Cherry</v>
      </c>
    </row>
    <row r="9" spans="1:15" ht="18.75" customHeight="1">
      <c r="A9" s="77" t="s">
        <v>127</v>
      </c>
      <c r="B9" s="77"/>
      <c r="C9" s="77"/>
      <c r="D9" s="77"/>
      <c r="E9" s="77"/>
      <c r="F9" s="77"/>
      <c r="G9" s="77"/>
      <c r="H9" s="77"/>
      <c r="I9" s="77"/>
      <c r="J9" s="77"/>
      <c r="K9" s="77"/>
      <c r="L9" s="77"/>
      <c r="M9" s="77"/>
      <c r="N9" s="77"/>
    </row>
    <row r="10" spans="1:15" ht="18">
      <c r="A10" s="74" t="s">
        <v>107</v>
      </c>
      <c r="B10" s="74"/>
    </row>
    <row r="11" spans="1:15" ht="15.6">
      <c r="B11" s="51" t="str">
        <f>"2025"&amp;": "&amp;"Excel Functions"</f>
        <v>2025: Excel Functions</v>
      </c>
    </row>
    <row r="13" spans="1:15" ht="18">
      <c r="A13" s="77" t="s">
        <v>128</v>
      </c>
      <c r="B13" s="77"/>
      <c r="C13" s="77"/>
      <c r="D13" s="77"/>
      <c r="E13" s="77"/>
      <c r="F13" s="77"/>
      <c r="G13" s="77"/>
      <c r="H13" s="77"/>
      <c r="I13" s="77"/>
      <c r="J13" s="77"/>
      <c r="K13" s="77"/>
      <c r="L13" s="77"/>
      <c r="M13" s="77"/>
      <c r="N13" s="77"/>
    </row>
    <row r="14" spans="1:15" ht="18">
      <c r="A14" s="74" t="s">
        <v>107</v>
      </c>
      <c r="B14" s="74"/>
    </row>
    <row r="15" spans="1:15" ht="18">
      <c r="A15" s="47"/>
      <c r="B15" s="55" t="s">
        <v>124</v>
      </c>
      <c r="C15" s="55" t="s">
        <v>125</v>
      </c>
      <c r="D15" s="55" t="s">
        <v>126</v>
      </c>
      <c r="E15" s="55" t="s">
        <v>129</v>
      </c>
      <c r="F15" s="55" t="s">
        <v>130</v>
      </c>
    </row>
    <row r="16" spans="1:15" ht="18">
      <c r="B16" s="52" t="str">
        <f>_xlfn.TEXTJOIN(", ", TRUE, B15:F15)</f>
        <v xml:space="preserve">Apple , Banana, Cherry , Orange , Mango </v>
      </c>
    </row>
    <row r="18" spans="1:14" ht="18">
      <c r="A18" s="77" t="s">
        <v>131</v>
      </c>
      <c r="B18" s="77"/>
      <c r="C18" s="77"/>
      <c r="D18" s="77"/>
      <c r="E18" s="77"/>
      <c r="F18" s="77"/>
      <c r="G18" s="77"/>
      <c r="H18" s="77"/>
      <c r="I18" s="77"/>
      <c r="J18" s="77"/>
      <c r="K18" s="77"/>
      <c r="L18" s="77"/>
      <c r="M18" s="77"/>
      <c r="N18" s="77"/>
    </row>
    <row r="19" spans="1:14" ht="18">
      <c r="A19" s="74" t="s">
        <v>107</v>
      </c>
      <c r="B19" s="74"/>
    </row>
    <row r="20" spans="1:14">
      <c r="B20" s="56" t="s">
        <v>132</v>
      </c>
      <c r="C20" s="56" t="s">
        <v>133</v>
      </c>
      <c r="D20" s="56" t="s">
        <v>138</v>
      </c>
    </row>
    <row r="21" spans="1:14">
      <c r="B21" s="57" t="s">
        <v>134</v>
      </c>
      <c r="C21" s="57" t="s">
        <v>135</v>
      </c>
      <c r="D21" s="57" t="str">
        <f>B21&amp;" "&amp;C21</f>
        <v>Jane Smith</v>
      </c>
    </row>
    <row r="22" spans="1:14">
      <c r="B22" s="57" t="s">
        <v>136</v>
      </c>
      <c r="C22" s="57" t="s">
        <v>137</v>
      </c>
      <c r="D22" s="57" t="str">
        <f t="shared" ref="D22:D23" si="0">B22&amp;" "&amp;C22</f>
        <v>Alex Moore</v>
      </c>
    </row>
    <row r="23" spans="1:14">
      <c r="B23" s="58"/>
      <c r="C23" s="58"/>
      <c r="D23" s="57" t="str">
        <f t="shared" si="0"/>
        <v xml:space="preserve"> </v>
      </c>
    </row>
  </sheetData>
  <mergeCells count="12">
    <mergeCell ref="A7:B7"/>
    <mergeCell ref="A1:L1"/>
    <mergeCell ref="A2:K2"/>
    <mergeCell ref="A3:B3"/>
    <mergeCell ref="B4:C4"/>
    <mergeCell ref="A6:M6"/>
    <mergeCell ref="A19:B19"/>
    <mergeCell ref="A9:N9"/>
    <mergeCell ref="A10:B10"/>
    <mergeCell ref="A13:N13"/>
    <mergeCell ref="A14:B14"/>
    <mergeCell ref="A18:N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4"/>
  <sheetViews>
    <sheetView tabSelected="1" workbookViewId="0">
      <selection activeCell="A34" sqref="A34:O34"/>
    </sheetView>
  </sheetViews>
  <sheetFormatPr defaultRowHeight="14.4"/>
  <cols>
    <col min="3" max="3" width="26.88671875" customWidth="1"/>
    <col min="4" max="4" width="28.109375" bestFit="1" customWidth="1"/>
  </cols>
  <sheetData>
    <row r="1" spans="1:15" ht="21">
      <c r="A1" s="82" t="s">
        <v>139</v>
      </c>
      <c r="B1" s="82"/>
      <c r="C1" s="82"/>
      <c r="D1" s="82"/>
      <c r="E1" s="82"/>
      <c r="F1" s="82"/>
      <c r="G1" s="82"/>
      <c r="H1" s="82"/>
    </row>
    <row r="2" spans="1:15" ht="18">
      <c r="A2" s="64" t="s">
        <v>140</v>
      </c>
      <c r="B2" s="64"/>
      <c r="C2" s="64"/>
      <c r="D2" s="64"/>
      <c r="E2" s="64"/>
      <c r="F2" s="64"/>
      <c r="G2" s="64"/>
      <c r="H2" s="64"/>
      <c r="I2" s="64"/>
      <c r="J2" s="64"/>
      <c r="K2" s="64"/>
      <c r="L2" s="64"/>
      <c r="M2" s="64"/>
      <c r="N2" s="64"/>
      <c r="O2" s="64"/>
    </row>
    <row r="3" spans="1:15" ht="18">
      <c r="A3" s="74" t="s">
        <v>107</v>
      </c>
      <c r="B3" s="74"/>
    </row>
    <row r="4" spans="1:15">
      <c r="B4" s="56" t="s">
        <v>149</v>
      </c>
      <c r="C4" s="56" t="s">
        <v>141</v>
      </c>
      <c r="D4" s="59" t="s">
        <v>142</v>
      </c>
    </row>
    <row r="5" spans="1:15">
      <c r="B5" s="60" t="s">
        <v>143</v>
      </c>
      <c r="C5" s="57" t="s">
        <v>144</v>
      </c>
      <c r="D5" s="61" t="s">
        <v>145</v>
      </c>
    </row>
    <row r="6" spans="1:15">
      <c r="B6" s="60" t="s">
        <v>146</v>
      </c>
      <c r="C6" s="57" t="s">
        <v>147</v>
      </c>
      <c r="D6" s="61" t="s">
        <v>148</v>
      </c>
    </row>
    <row r="8" spans="1:15">
      <c r="A8" t="s">
        <v>150</v>
      </c>
    </row>
    <row r="9" spans="1:15">
      <c r="B9" t="s">
        <v>151</v>
      </c>
    </row>
    <row r="10" spans="1:15">
      <c r="B10" t="s">
        <v>152</v>
      </c>
    </row>
    <row r="12" spans="1:15" ht="18">
      <c r="A12" s="64" t="s">
        <v>153</v>
      </c>
      <c r="B12" s="64"/>
      <c r="C12" s="64"/>
      <c r="D12" s="64"/>
      <c r="E12" s="64"/>
      <c r="F12" s="64"/>
      <c r="G12" s="64"/>
      <c r="H12" s="64"/>
      <c r="I12" s="64"/>
      <c r="J12" s="64"/>
      <c r="K12" s="64"/>
      <c r="L12" s="64"/>
      <c r="M12" s="64"/>
      <c r="N12" s="64"/>
      <c r="O12" s="64"/>
    </row>
    <row r="13" spans="1:15" ht="18">
      <c r="A13" s="74" t="s">
        <v>107</v>
      </c>
      <c r="B13" s="74"/>
      <c r="C13" s="3"/>
      <c r="D13" s="3"/>
      <c r="E13" s="3"/>
      <c r="F13" s="3"/>
      <c r="G13" s="3"/>
      <c r="H13" s="3"/>
      <c r="I13" s="3"/>
      <c r="J13" s="3"/>
      <c r="K13" s="3"/>
      <c r="L13" s="3"/>
      <c r="M13" s="3"/>
      <c r="N13" s="3"/>
      <c r="O13" s="3"/>
    </row>
    <row r="14" spans="1:15" ht="18">
      <c r="C14" s="53" t="s">
        <v>154</v>
      </c>
    </row>
    <row r="16" spans="1:15" ht="18">
      <c r="A16" s="79" t="s">
        <v>155</v>
      </c>
      <c r="B16" s="64"/>
      <c r="C16" s="64"/>
      <c r="D16" s="64"/>
      <c r="E16" s="64"/>
      <c r="F16" s="64"/>
      <c r="G16" s="64"/>
      <c r="H16" s="64"/>
      <c r="I16" s="64"/>
      <c r="J16" s="64"/>
      <c r="K16" s="64"/>
      <c r="L16" s="64"/>
      <c r="M16" s="64"/>
      <c r="N16" s="64"/>
      <c r="O16" s="64"/>
    </row>
    <row r="17" spans="1:16" ht="18">
      <c r="A17" s="74" t="s">
        <v>107</v>
      </c>
      <c r="B17" s="74"/>
    </row>
    <row r="18" spans="1:16" ht="18">
      <c r="B18" s="64" t="str">
        <f ca="1">TEXT(NOW(),"MM/DD/YYYY hh:mm AM/PM")</f>
        <v>01/06/2026 10:41 PM</v>
      </c>
      <c r="C18" s="64"/>
    </row>
    <row r="20" spans="1:16" ht="18">
      <c r="A20" s="79" t="s">
        <v>156</v>
      </c>
      <c r="B20" s="64"/>
      <c r="C20" s="64"/>
      <c r="D20" s="64"/>
      <c r="E20" s="64"/>
      <c r="F20" s="64"/>
      <c r="G20" s="64"/>
      <c r="H20" s="64"/>
      <c r="I20" s="64"/>
      <c r="J20" s="64"/>
      <c r="K20" s="64"/>
      <c r="L20" s="64"/>
      <c r="M20" s="64"/>
      <c r="N20" s="64"/>
      <c r="O20" s="64"/>
    </row>
    <row r="21" spans="1:16" ht="18">
      <c r="A21" s="74" t="s">
        <v>107</v>
      </c>
      <c r="B21" s="74"/>
    </row>
    <row r="22" spans="1:16" ht="18.75" customHeight="1">
      <c r="A22" s="62" t="s">
        <v>158</v>
      </c>
      <c r="B22" s="79" t="s">
        <v>160</v>
      </c>
      <c r="C22" s="64"/>
      <c r="D22" s="64"/>
      <c r="E22" s="64"/>
      <c r="F22" s="64"/>
      <c r="G22" s="64"/>
      <c r="H22" s="64"/>
      <c r="I22" s="64"/>
      <c r="J22" s="64"/>
      <c r="K22" s="64"/>
      <c r="L22" s="64"/>
      <c r="M22" s="64"/>
      <c r="N22" s="64"/>
      <c r="O22" s="64"/>
      <c r="P22" s="64"/>
    </row>
    <row r="23" spans="1:16" ht="21">
      <c r="A23" s="62" t="s">
        <v>159</v>
      </c>
      <c r="B23" s="79" t="s">
        <v>161</v>
      </c>
      <c r="C23" s="64"/>
      <c r="D23" s="64"/>
      <c r="E23" s="64"/>
      <c r="F23" s="64"/>
      <c r="G23" s="64"/>
      <c r="H23" s="64"/>
      <c r="I23" s="64"/>
      <c r="J23" s="64"/>
      <c r="K23" s="64"/>
      <c r="L23" s="64"/>
      <c r="M23" s="64"/>
      <c r="N23" s="64"/>
      <c r="O23" s="64"/>
      <c r="P23" s="64"/>
    </row>
    <row r="24" spans="1:16" ht="21">
      <c r="A24" s="62" t="s">
        <v>158</v>
      </c>
      <c r="B24" s="80" t="s">
        <v>162</v>
      </c>
      <c r="C24" s="81"/>
      <c r="D24" s="81"/>
      <c r="E24" s="81"/>
      <c r="F24" s="81"/>
      <c r="G24" s="81"/>
      <c r="H24" s="81"/>
      <c r="I24" s="81"/>
      <c r="J24" s="81"/>
      <c r="K24" s="81"/>
      <c r="L24" s="81"/>
      <c r="M24" s="81"/>
      <c r="N24" s="81"/>
      <c r="O24" s="81"/>
      <c r="P24" s="81"/>
    </row>
    <row r="25" spans="1:16" ht="21">
      <c r="A25" s="62" t="s">
        <v>158</v>
      </c>
      <c r="B25" s="79" t="s">
        <v>157</v>
      </c>
      <c r="C25" s="64"/>
      <c r="D25" s="64"/>
      <c r="E25" s="64"/>
      <c r="F25" s="64"/>
      <c r="G25" s="64"/>
      <c r="H25" s="64"/>
      <c r="I25" s="64"/>
      <c r="J25" s="64"/>
      <c r="K25" s="64"/>
      <c r="L25" s="64"/>
      <c r="M25" s="64"/>
      <c r="N25" s="64"/>
      <c r="O25" s="64"/>
      <c r="P25" s="64"/>
    </row>
    <row r="26" spans="1:16" ht="21">
      <c r="A26" s="1"/>
    </row>
    <row r="27" spans="1:16" ht="18">
      <c r="A27" s="79" t="s">
        <v>163</v>
      </c>
      <c r="B27" s="64"/>
      <c r="C27" s="64"/>
      <c r="D27" s="64"/>
      <c r="E27" s="64"/>
      <c r="F27" s="64"/>
      <c r="G27" s="64"/>
      <c r="H27" s="64"/>
      <c r="I27" s="64"/>
      <c r="J27" s="64"/>
      <c r="K27" s="64"/>
      <c r="L27" s="64"/>
      <c r="M27" s="64"/>
      <c r="N27" s="64"/>
      <c r="O27" s="64"/>
    </row>
    <row r="28" spans="1:16" ht="18">
      <c r="A28" s="74" t="s">
        <v>107</v>
      </c>
      <c r="B28" s="74"/>
    </row>
    <row r="29" spans="1:16" ht="18">
      <c r="B29" s="53" t="s">
        <v>164</v>
      </c>
    </row>
    <row r="30" spans="1:16">
      <c r="B30" s="63">
        <v>0.59791666666666665</v>
      </c>
    </row>
    <row r="31" spans="1:16">
      <c r="A31" s="50" t="s">
        <v>113</v>
      </c>
    </row>
    <row r="32" spans="1:16">
      <c r="A32" s="54"/>
    </row>
    <row r="33" spans="1:15" ht="18">
      <c r="A33" s="79" t="s">
        <v>165</v>
      </c>
      <c r="B33" s="64"/>
      <c r="C33" s="64"/>
      <c r="D33" s="64"/>
      <c r="E33" s="64"/>
      <c r="F33" s="64"/>
      <c r="G33" s="64"/>
      <c r="H33" s="64"/>
      <c r="I33" s="64"/>
      <c r="J33" s="64"/>
      <c r="K33" s="64"/>
      <c r="L33" s="64"/>
      <c r="M33" s="64"/>
      <c r="N33" s="64"/>
      <c r="O33" s="64"/>
    </row>
    <row r="34" spans="1:15" ht="18">
      <c r="A34" s="79" t="s">
        <v>166</v>
      </c>
      <c r="B34" s="64"/>
      <c r="C34" s="64"/>
      <c r="D34" s="64"/>
      <c r="E34" s="64"/>
      <c r="F34" s="64"/>
      <c r="G34" s="64"/>
      <c r="H34" s="64"/>
      <c r="I34" s="64"/>
      <c r="J34" s="64"/>
      <c r="K34" s="64"/>
      <c r="L34" s="64"/>
      <c r="M34" s="64"/>
      <c r="N34" s="64"/>
      <c r="O34" s="64"/>
    </row>
  </sheetData>
  <mergeCells count="18">
    <mergeCell ref="A1:H1"/>
    <mergeCell ref="A2:O2"/>
    <mergeCell ref="A3:B3"/>
    <mergeCell ref="A12:O12"/>
    <mergeCell ref="A16:O16"/>
    <mergeCell ref="A13:B13"/>
    <mergeCell ref="A17:B17"/>
    <mergeCell ref="B18:C18"/>
    <mergeCell ref="A20:O20"/>
    <mergeCell ref="A21:B21"/>
    <mergeCell ref="B22:P22"/>
    <mergeCell ref="A34:O34"/>
    <mergeCell ref="B23:P23"/>
    <mergeCell ref="B24:P24"/>
    <mergeCell ref="B25:P25"/>
    <mergeCell ref="A27:O27"/>
    <mergeCell ref="A28:B28"/>
    <mergeCell ref="A33:O3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 Page </vt:lpstr>
      <vt:lpstr>Q1</vt:lpstr>
      <vt:lpstr>Q2</vt:lpstr>
      <vt:lpstr>Q3</vt:lpstr>
      <vt:lpstr>Q4</vt:lpstr>
      <vt:lpstr>Q5</vt:lpstr>
      <vt:lpstr>Q6</vt:lpstr>
      <vt:lpstr>Q7</vt:lpstr>
      <vt:lpstr>Q8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Divya Maskar</cp:lastModifiedBy>
  <dcterms:created xsi:type="dcterms:W3CDTF">2025-12-31T16:03:53Z</dcterms:created>
  <dcterms:modified xsi:type="dcterms:W3CDTF">2026-01-06T17:12:22Z</dcterms:modified>
</cp:coreProperties>
</file>